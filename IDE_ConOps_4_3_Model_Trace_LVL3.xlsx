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ohn\OneDrive\Documents\projects\NGIDE_Baseline\"/>
    </mc:Choice>
  </mc:AlternateContent>
  <xr:revisionPtr revIDLastSave="0" documentId="13_ncr:b_{D3900C18-54DE-4EE7-9CE7-BE9C56425C01}" xr6:coauthVersionLast="47" xr6:coauthVersionMax="47" xr10:uidLastSave="{00000000-0000-0000-0000-000000000000}"/>
  <bookViews>
    <workbookView xWindow="10920" yWindow="2370" windowWidth="57600" windowHeight="15345" activeTab="3" xr2:uid="{F8EADC94-F353-495F-82FC-D6AEF13976AF}"/>
  </bookViews>
  <sheets>
    <sheet name="Sheet4" sheetId="5" r:id="rId1"/>
    <sheet name="IDE_ConOps_4_3_Model_Trace_LVL3" sheetId="1" r:id="rId2"/>
    <sheet name="SPL3" sheetId="2" r:id="rId3"/>
    <sheet name="IDE_v2_L3_JS" sheetId="3" r:id="rId4"/>
    <sheet name="IDE_ConOps_4_3_Model_LVL3" sheetId="4" r:id="rId5"/>
  </sheets>
  <definedNames>
    <definedName name="_xlnm._FilterDatabase" localSheetId="1" hidden="1">IDE_ConOps_4_3_Model_Trace_LVL3!$A$1:$H$393</definedName>
  </definedNames>
  <calcPr calcId="0"/>
  <pivotCaches>
    <pivotCache cacheId="6" r:id="rId6"/>
  </pivotCaches>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2" i="1"/>
</calcChain>
</file>

<file path=xl/sharedStrings.xml><?xml version="1.0" encoding="utf-8"?>
<sst xmlns="http://schemas.openxmlformats.org/spreadsheetml/2006/main" count="5357" uniqueCount="1465">
  <si>
    <t>Table 1-Level 3 ID</t>
  </si>
  <si>
    <t>Model file name</t>
  </si>
  <si>
    <t>Modeled reference ID</t>
  </si>
  <si>
    <t>Modeled ConOps Reference</t>
  </si>
  <si>
    <t>Level 3/4</t>
  </si>
  <si>
    <t>2.1.2-F5</t>
  </si>
  <si>
    <t>IDE_v2_L3_JS.csv</t>
  </si>
  <si>
    <t>IDE_1</t>
  </si>
  <si>
    <t>Sec 3.3.3</t>
  </si>
  <si>
    <t>L4</t>
  </si>
  <si>
    <t>2.1.2-F11</t>
  </si>
  <si>
    <t>IDE_2</t>
  </si>
  <si>
    <t>Sec 2.1.2, 3.3.3</t>
  </si>
  <si>
    <t>2.1.2-F19</t>
  </si>
  <si>
    <t>IDE_3</t>
  </si>
  <si>
    <t>U.U.3-F2</t>
  </si>
  <si>
    <t>IDE_4</t>
  </si>
  <si>
    <t>Sec 5.1.2</t>
  </si>
  <si>
    <t>L3</t>
  </si>
  <si>
    <t>U.U.3-M1</t>
  </si>
  <si>
    <t>IDE_5</t>
  </si>
  <si>
    <t>U.U.3-F4</t>
  </si>
  <si>
    <t>IDE_6</t>
  </si>
  <si>
    <t>U.U.3-F3</t>
  </si>
  <si>
    <t>IDE_7</t>
  </si>
  <si>
    <t>U.U.3-F1</t>
  </si>
  <si>
    <t>IDE_8</t>
  </si>
  <si>
    <t>1.1.1-F4</t>
  </si>
  <si>
    <t>IDE_9</t>
  </si>
  <si>
    <t>Sec 2.2</t>
  </si>
  <si>
    <t>IDE_10</t>
  </si>
  <si>
    <t>3.1.1-N5</t>
  </si>
  <si>
    <t>IDE_11</t>
  </si>
  <si>
    <t>Sec 2.1, 4.1</t>
  </si>
  <si>
    <t>2.1.2-F12</t>
  </si>
  <si>
    <t>IDE_12</t>
  </si>
  <si>
    <t>IDE_13</t>
  </si>
  <si>
    <t>IDE_14</t>
  </si>
  <si>
    <t>U.U.1-M1</t>
  </si>
  <si>
    <t>IDE_15</t>
  </si>
  <si>
    <t>Sec 2.4</t>
  </si>
  <si>
    <t>1.1.6-M1</t>
  </si>
  <si>
    <t>IDE_16</t>
  </si>
  <si>
    <t>U.U.1-F1</t>
  </si>
  <si>
    <t>IDE_17</t>
  </si>
  <si>
    <t>IDE_18</t>
  </si>
  <si>
    <t>IDE_19</t>
  </si>
  <si>
    <t>3.1.1-F2</t>
  </si>
  <si>
    <t>IDE_20</t>
  </si>
  <si>
    <t>Sec 2.1.2, 5.1.1</t>
  </si>
  <si>
    <t>2.1.2-F2</t>
  </si>
  <si>
    <t>IDE_21</t>
  </si>
  <si>
    <t>IDE_22</t>
  </si>
  <si>
    <t>IDE_23</t>
  </si>
  <si>
    <t>3.1.1-P4</t>
  </si>
  <si>
    <t>IDE_24</t>
  </si>
  <si>
    <t>Sec 4.5</t>
  </si>
  <si>
    <t>3.1.1-F7</t>
  </si>
  <si>
    <t>IDE_25</t>
  </si>
  <si>
    <t>Sec 5.4.3</t>
  </si>
  <si>
    <t>IDE_26</t>
  </si>
  <si>
    <t>3.1.1-M5</t>
  </si>
  <si>
    <t>IDE_27</t>
  </si>
  <si>
    <t>Sec 2.1.2</t>
  </si>
  <si>
    <t>IDE_28</t>
  </si>
  <si>
    <t>IDE_29</t>
  </si>
  <si>
    <t>IDE_30</t>
  </si>
  <si>
    <t>3.1.1-M1</t>
  </si>
  <si>
    <t>IDE_31</t>
  </si>
  <si>
    <t>Sec 5.5</t>
  </si>
  <si>
    <t>3.1.1-M4</t>
  </si>
  <si>
    <t>IDE_32</t>
  </si>
  <si>
    <t>3.1.1-M3</t>
  </si>
  <si>
    <t>IDE_33</t>
  </si>
  <si>
    <t>Sec 2.4.1, 5.5</t>
  </si>
  <si>
    <t>3.1.1-M2</t>
  </si>
  <si>
    <t>IDE_34</t>
  </si>
  <si>
    <t>IDE_35</t>
  </si>
  <si>
    <t>1.1.1-F1</t>
  </si>
  <si>
    <t>IDE_36</t>
  </si>
  <si>
    <t>2.1.2-M1</t>
  </si>
  <si>
    <t>IDE_37</t>
  </si>
  <si>
    <t>2.1.2-F9</t>
  </si>
  <si>
    <t>IDE_38</t>
  </si>
  <si>
    <t>2.1.2-M2</t>
  </si>
  <si>
    <t>IDE_39</t>
  </si>
  <si>
    <t>IDE_40</t>
  </si>
  <si>
    <t>2.1.2-F1</t>
  </si>
  <si>
    <t>IDE_41</t>
  </si>
  <si>
    <t>IDE_42</t>
  </si>
  <si>
    <t>IDE_43</t>
  </si>
  <si>
    <t>IDE_44</t>
  </si>
  <si>
    <t>2.1.2-M3</t>
  </si>
  <si>
    <t>IDE_45</t>
  </si>
  <si>
    <t>2.1.1-F1</t>
  </si>
  <si>
    <t>IDE_46</t>
  </si>
  <si>
    <t>IDE_47</t>
  </si>
  <si>
    <t>2.1.1-F3</t>
  </si>
  <si>
    <t>IDE_48</t>
  </si>
  <si>
    <t>Sec 2.3.1, 5.3.3</t>
  </si>
  <si>
    <t>3.1.1-F9</t>
  </si>
  <si>
    <t>IDE_49</t>
  </si>
  <si>
    <t>Sec 2.2.1</t>
  </si>
  <si>
    <t>IDE_50</t>
  </si>
  <si>
    <t>2.1.2-F10</t>
  </si>
  <si>
    <t>IDE_51</t>
  </si>
  <si>
    <t>3.1.1-F8</t>
  </si>
  <si>
    <t>IDE_52</t>
  </si>
  <si>
    <t>IDE_53</t>
  </si>
  <si>
    <t>1.1.2-F1</t>
  </si>
  <si>
    <t>IDE_54</t>
  </si>
  <si>
    <t>1.1.3-F1</t>
  </si>
  <si>
    <t>IDE_55</t>
  </si>
  <si>
    <t>IDE_56</t>
  </si>
  <si>
    <t>IDE_57</t>
  </si>
  <si>
    <t>IDE_58</t>
  </si>
  <si>
    <t>IDE_59</t>
  </si>
  <si>
    <t>IDE_60</t>
  </si>
  <si>
    <t>IDE_61</t>
  </si>
  <si>
    <t>IDE_62</t>
  </si>
  <si>
    <t>IDE_63</t>
  </si>
  <si>
    <t>IDE_64</t>
  </si>
  <si>
    <t>IDE_65</t>
  </si>
  <si>
    <t>IDE_66</t>
  </si>
  <si>
    <t>IDE_67</t>
  </si>
  <si>
    <t>2.1.2-F6</t>
  </si>
  <si>
    <t>IDE_68</t>
  </si>
  <si>
    <t>IDE_69</t>
  </si>
  <si>
    <t>IDE_70</t>
  </si>
  <si>
    <t>IDE_71</t>
  </si>
  <si>
    <t>IDE_72</t>
  </si>
  <si>
    <t>IDE_73</t>
  </si>
  <si>
    <t>3.1.1-P2</t>
  </si>
  <si>
    <t>IDE_74</t>
  </si>
  <si>
    <t>Sec 1.2, 4.5, 5.2.2</t>
  </si>
  <si>
    <t>IDE_75</t>
  </si>
  <si>
    <t>IDE_76</t>
  </si>
  <si>
    <t>IDE_77</t>
  </si>
  <si>
    <t>3.1.1-P3</t>
  </si>
  <si>
    <t>IDE_78</t>
  </si>
  <si>
    <t>IDE_79</t>
  </si>
  <si>
    <t>IDE_80</t>
  </si>
  <si>
    <t>IDE_81</t>
  </si>
  <si>
    <t>IDE_82</t>
  </si>
  <si>
    <t>IDE_83</t>
  </si>
  <si>
    <t>2.1.2-F18</t>
  </si>
  <si>
    <t>IDE_84</t>
  </si>
  <si>
    <t>IDE_85</t>
  </si>
  <si>
    <t>IDE_86</t>
  </si>
  <si>
    <t>2.2.1-N3</t>
  </si>
  <si>
    <t>IDE_87</t>
  </si>
  <si>
    <t>Sec 3.2.1</t>
  </si>
  <si>
    <t>1.1.3-F8</t>
  </si>
  <si>
    <t>IDE_88</t>
  </si>
  <si>
    <t>IDE_89</t>
  </si>
  <si>
    <t>IDE_90</t>
  </si>
  <si>
    <t>IDE_91</t>
  </si>
  <si>
    <t>IDE_92</t>
  </si>
  <si>
    <t>IDE_93</t>
  </si>
  <si>
    <t>IDE_94</t>
  </si>
  <si>
    <t>IDE_95</t>
  </si>
  <si>
    <t>3.1.1-P6</t>
  </si>
  <si>
    <t>IDE_96</t>
  </si>
  <si>
    <t>Sec 4.5, 5.2.2</t>
  </si>
  <si>
    <t>3.1.1-N16</t>
  </si>
  <si>
    <t>IDE_97</t>
  </si>
  <si>
    <t>IDE_98</t>
  </si>
  <si>
    <t>IDE_99</t>
  </si>
  <si>
    <t>IDE_100</t>
  </si>
  <si>
    <t>IDE_101</t>
  </si>
  <si>
    <t>IDE_102</t>
  </si>
  <si>
    <t>3.1.1-N8</t>
  </si>
  <si>
    <t>IDE_103</t>
  </si>
  <si>
    <t>Sec 2.1, 3.1.3</t>
  </si>
  <si>
    <t>3.1.1-N13</t>
  </si>
  <si>
    <t>IDE_104</t>
  </si>
  <si>
    <t>Sec 2.4.1, 4.3.1</t>
  </si>
  <si>
    <t>3.1.1-F10</t>
  </si>
  <si>
    <t>IDE_105</t>
  </si>
  <si>
    <t>IDE_106</t>
  </si>
  <si>
    <t>3.1.1-N1</t>
  </si>
  <si>
    <t>IDE_107</t>
  </si>
  <si>
    <t>Sec 2.0, 2.5</t>
  </si>
  <si>
    <t>3.1.1-N10</t>
  </si>
  <si>
    <t>IDE_108</t>
  </si>
  <si>
    <t>IDE_109</t>
  </si>
  <si>
    <t>IDE_110</t>
  </si>
  <si>
    <t>IDE_111</t>
  </si>
  <si>
    <t>IDE_112</t>
  </si>
  <si>
    <t>IDE_113</t>
  </si>
  <si>
    <t>IDE_114</t>
  </si>
  <si>
    <t>1.1.3-F7</t>
  </si>
  <si>
    <t>IDE_115</t>
  </si>
  <si>
    <t>IDE_116</t>
  </si>
  <si>
    <t>IDE_117</t>
  </si>
  <si>
    <t>IDE_118</t>
  </si>
  <si>
    <t>IDE_119</t>
  </si>
  <si>
    <t>IDE_120</t>
  </si>
  <si>
    <t>IDE_121</t>
  </si>
  <si>
    <t>IDE_122</t>
  </si>
  <si>
    <t>IDE_123</t>
  </si>
  <si>
    <t>IDE_124</t>
  </si>
  <si>
    <t>IDE_125</t>
  </si>
  <si>
    <t>IDE_126</t>
  </si>
  <si>
    <t>3.1.1-N14</t>
  </si>
  <si>
    <t>IDE_127</t>
  </si>
  <si>
    <t>IDE_128</t>
  </si>
  <si>
    <t>IDE_129</t>
  </si>
  <si>
    <t>IDE_130</t>
  </si>
  <si>
    <t>IDE_131</t>
  </si>
  <si>
    <t>IDE_132</t>
  </si>
  <si>
    <t>IDE_133</t>
  </si>
  <si>
    <t>IDE_134</t>
  </si>
  <si>
    <t>IDE_135</t>
  </si>
  <si>
    <t>IDE_136</t>
  </si>
  <si>
    <t>3.1.1-F15</t>
  </si>
  <si>
    <t>IDE_137</t>
  </si>
  <si>
    <t>IDE_138</t>
  </si>
  <si>
    <t>IDE_139</t>
  </si>
  <si>
    <t>IDE_140</t>
  </si>
  <si>
    <t>IDE_141</t>
  </si>
  <si>
    <t>IDE_142</t>
  </si>
  <si>
    <t>IDE_143</t>
  </si>
  <si>
    <t>IDE_144</t>
  </si>
  <si>
    <t>IDE_145</t>
  </si>
  <si>
    <t>IDE_146</t>
  </si>
  <si>
    <t>IDE_147</t>
  </si>
  <si>
    <t>3.1.1-N6</t>
  </si>
  <si>
    <t>IDE_148</t>
  </si>
  <si>
    <t>Sec 4.2, 4.2.1</t>
  </si>
  <si>
    <t>IDE_149</t>
  </si>
  <si>
    <t>IDE_150</t>
  </si>
  <si>
    <t>IDE_151</t>
  </si>
  <si>
    <t>IDE_152</t>
  </si>
  <si>
    <t>IDE_153</t>
  </si>
  <si>
    <t>IDE_154</t>
  </si>
  <si>
    <t>SPL3.csv</t>
  </si>
  <si>
    <t>3.1.1-F1</t>
  </si>
  <si>
    <t>Sec 2.1.1</t>
  </si>
  <si>
    <t>3.1.1-F11</t>
  </si>
  <si>
    <t>1.1.3-F6</t>
  </si>
  <si>
    <t>3.1.1-F6</t>
  </si>
  <si>
    <t>3.1.1-F5</t>
  </si>
  <si>
    <t>3.1.1-F17</t>
  </si>
  <si>
    <t>U.U.2-F5</t>
  </si>
  <si>
    <t>Sec 2.4.1</t>
  </si>
  <si>
    <t>2.1.2-F8</t>
  </si>
  <si>
    <t>3.1.1-F3</t>
  </si>
  <si>
    <t>3.1.1-N9</t>
  </si>
  <si>
    <t>Sec 3.1.4, 3.3.3</t>
  </si>
  <si>
    <t>3.1.1-F14</t>
  </si>
  <si>
    <t>3.1.1-N15</t>
  </si>
  <si>
    <t>1.1.3-F5</t>
  </si>
  <si>
    <t>U.U.2-N1</t>
  </si>
  <si>
    <t>Sec 2.4.1, 5.1.1</t>
  </si>
  <si>
    <t>3.1.1-P1</t>
  </si>
  <si>
    <t>Sec 1.2, 5.1.1</t>
  </si>
  <si>
    <t>3.1.1-N4</t>
  </si>
  <si>
    <t>U.U.2-F4</t>
  </si>
  <si>
    <t>3.1.1-F12</t>
  </si>
  <si>
    <t>3.1.1-F16</t>
  </si>
  <si>
    <t>2.1.2-F7</t>
  </si>
  <si>
    <t>Access Attempt Logging</t>
  </si>
  <si>
    <t>Access Audit Logging</t>
  </si>
  <si>
    <t>Access Control by Application</t>
  </si>
  <si>
    <t>Access Control Logging</t>
  </si>
  <si>
    <t>Access Removal Based on User System Status</t>
  </si>
  <si>
    <t>Administrative Password Control</t>
  </si>
  <si>
    <t>Anomaly Alerts</t>
  </si>
  <si>
    <t>API Gateway for Traffic Management</t>
  </si>
  <si>
    <t>API Management within the Service Mesh</t>
  </si>
  <si>
    <t>2.2.1-F5</t>
  </si>
  <si>
    <t>Automated Anomaly Detection</t>
  </si>
  <si>
    <t>Sec 2.3.1, 5.3.4</t>
  </si>
  <si>
    <t>Automated Log Analysis</t>
  </si>
  <si>
    <t>Backup Cyber Security Compliance</t>
  </si>
  <si>
    <t>Backup Data Encryption</t>
  </si>
  <si>
    <t>Backup Data Integrity Verification</t>
  </si>
  <si>
    <t>Backup Status Alerts</t>
  </si>
  <si>
    <t>Biometric Authentication</t>
  </si>
  <si>
    <t>Centralized Secrets Manager</t>
  </si>
  <si>
    <t>CI/CD Pipeline Security Testing</t>
  </si>
  <si>
    <t>Compliance Auditing of External Partners</t>
  </si>
  <si>
    <t>Container Image Vulnerability Scanning</t>
  </si>
  <si>
    <t>Containerized Application Runtime Security Monitoring</t>
  </si>
  <si>
    <t>Critical Component Uptime</t>
  </si>
  <si>
    <t>Cyber Compliance for CI/CD Pipeline</t>
  </si>
  <si>
    <t>3.1.1-N12</t>
  </si>
  <si>
    <t>Cyber Threat Detection</t>
  </si>
  <si>
    <t>2.1.2-F3</t>
  </si>
  <si>
    <t>Cyber Threat Reporting</t>
  </si>
  <si>
    <t>Sec 3.3.3, 4.2.1</t>
  </si>
  <si>
    <t>Data Retention Capability</t>
  </si>
  <si>
    <t>Driver removal</t>
  </si>
  <si>
    <t>Encrypted Communication</t>
  </si>
  <si>
    <t>Encrypted Communication for Microservices</t>
  </si>
  <si>
    <t>Encrypted Communication with External Partners</t>
  </si>
  <si>
    <t>Encryption</t>
  </si>
  <si>
    <t>External Identity Provider Authentication</t>
  </si>
  <si>
    <t>External Identity Provider for Microservice Authentication</t>
  </si>
  <si>
    <t>External Network Connections</t>
  </si>
  <si>
    <t>Firewall Integration</t>
  </si>
  <si>
    <t>Geographic Availability</t>
  </si>
  <si>
    <t>Hosted Application Cyber Security Compliance-53</t>
  </si>
  <si>
    <t>Hosted Application Data Encryption</t>
  </si>
  <si>
    <t>Hosted Application Status Visualization</t>
  </si>
  <si>
    <t>Identity and Access Management Integration</t>
  </si>
  <si>
    <t>Infrastructure as Code Cyber Security</t>
  </si>
  <si>
    <t>Infrastructure as Code script transfer to and from Air Gapped Systems</t>
  </si>
  <si>
    <t>Infrastructure Configuration Compliance Auditing</t>
  </si>
  <si>
    <t>Integrate Security Information and Event Management Systems</t>
  </si>
  <si>
    <t>Isolation of Resources by Internal and External access</t>
  </si>
  <si>
    <t>Log Data Retention</t>
  </si>
  <si>
    <t>Logging and Monitoring Compliance with Security Standards</t>
  </si>
  <si>
    <t>Malware Protection</t>
  </si>
  <si>
    <t>Manufacturing Floor Deployment Integration</t>
  </si>
  <si>
    <t>Multi-factor Authentication for Secrets Management</t>
  </si>
  <si>
    <t>Multi-Factor Authentication for Security-Sensitive Applications</t>
  </si>
  <si>
    <t>Multi-Factor Authentication for System Access</t>
  </si>
  <si>
    <t>Multi-System Single Sign-On</t>
  </si>
  <si>
    <t>Nationality Based Access</t>
  </si>
  <si>
    <t>Network Device Configuration</t>
  </si>
  <si>
    <t>Network Segmentation</t>
  </si>
  <si>
    <t>Onboarding and Offboarding External Partners</t>
  </si>
  <si>
    <t>Partner Interaction with Secure Platform Documentation</t>
  </si>
  <si>
    <t>3.1.1-N7</t>
  </si>
  <si>
    <t>RMF Compliance Approach</t>
  </si>
  <si>
    <t>RMF Compliance Documentation</t>
  </si>
  <si>
    <t>RMF Compliance Implementation</t>
  </si>
  <si>
    <t>RMF Compliance Monitoring</t>
  </si>
  <si>
    <t>RMF Compliance Results Documentation</t>
  </si>
  <si>
    <t>RMF Compliance Risk Assessment</t>
  </si>
  <si>
    <t>RMF Compliance Risk Identification</t>
  </si>
  <si>
    <t>RMF Compliance Templates</t>
  </si>
  <si>
    <t>1.1.3-F9</t>
  </si>
  <si>
    <t>Role Based Access Control for CI/CD pipeline</t>
  </si>
  <si>
    <t>Sec 2.1.2, 2.2</t>
  </si>
  <si>
    <t>Role Based Access Control for Configuration Management Activities</t>
  </si>
  <si>
    <t>Role Based Access Control for External Partners</t>
  </si>
  <si>
    <t>Role Based Access Control for Infrastructure as Code Script Execution</t>
  </si>
  <si>
    <t>Role Based Access Control for PPM Permissions</t>
  </si>
  <si>
    <t>Role Based Access Control for Security Integration Activities</t>
  </si>
  <si>
    <t>Role Based Access Control for User Permissions</t>
  </si>
  <si>
    <t>Role Based Access Control for VM Management</t>
  </si>
  <si>
    <t>Role Based Access for Availability and Continuity Operations</t>
  </si>
  <si>
    <t>Role Based Access for Configuration Management Activities</t>
  </si>
  <si>
    <t>Role-Based Access</t>
  </si>
  <si>
    <t>Screen Saver Automation</t>
  </si>
  <si>
    <t>Secrets Access and Modification Logging</t>
  </si>
  <si>
    <t>3.1.1-F13</t>
  </si>
  <si>
    <t>Secrets Management API</t>
  </si>
  <si>
    <t>Secure API for External Access</t>
  </si>
  <si>
    <t>Secure Communication to the Manufacturing Floor</t>
  </si>
  <si>
    <t>Secure Platform Access Control</t>
  </si>
  <si>
    <t>Secure Platform Container Image Scanning</t>
  </si>
  <si>
    <t>Secure Platform Container Sources</t>
  </si>
  <si>
    <t>U.U.2-F3</t>
  </si>
  <si>
    <t>Secure Platform Deployment Automation</t>
  </si>
  <si>
    <t>Secure Platform Logging</t>
  </si>
  <si>
    <t>Secure Platform Network Security</t>
  </si>
  <si>
    <t>Secure Platform Patch Management</t>
  </si>
  <si>
    <t>Secure Platform Security Compliance</t>
  </si>
  <si>
    <t>Secure Platform Security Monitoring</t>
  </si>
  <si>
    <t>Security Assessment and Penetration Testing for Hosted Applications</t>
  </si>
  <si>
    <t>Security Control in CI/CD Pipeline</t>
  </si>
  <si>
    <t>2.1.2-F14</t>
  </si>
  <si>
    <t>Security Incident Reporting</t>
  </si>
  <si>
    <t>Security Triggered Alerts</t>
  </si>
  <si>
    <t>Service Mesh Control Plane</t>
  </si>
  <si>
    <t>Service Mesh Microservice Manager</t>
  </si>
  <si>
    <t>Session Reauthentication</t>
  </si>
  <si>
    <t>Session Timeouts</t>
  </si>
  <si>
    <t>Single Point Failure Mitigation</t>
  </si>
  <si>
    <t>Single Point Failure Prevention</t>
  </si>
  <si>
    <t>System Availability Documentation</t>
  </si>
  <si>
    <t>System Backup</t>
  </si>
  <si>
    <t>System Security Reporting</t>
  </si>
  <si>
    <t>System Security Scanning</t>
  </si>
  <si>
    <t>User Action Audit Logging</t>
  </si>
  <si>
    <t>VM Data Backup</t>
  </si>
  <si>
    <t>VM Performance Notifications</t>
  </si>
  <si>
    <t>VM Security Controls</t>
  </si>
  <si>
    <t>3.1.1-M6</t>
  </si>
  <si>
    <t>#</t>
  </si>
  <si>
    <t>L3 Requirement Name</t>
  </si>
  <si>
    <t>L3 Requirement Text</t>
  </si>
  <si>
    <t>Traced To</t>
  </si>
  <si>
    <t>2.2.1.1 Baselined Requirements</t>
  </si>
  <si>
    <t>100000002172 Account and Access Management User Interface</t>
  </si>
  <si>
    <t>The Secure Platform shall provide a user interface for managing user accounts and access permissions.</t>
  </si>
  <si>
    <t>Access Control,Deploy Ingress</t>
  </si>
  <si>
    <t>100000002173 Application Health Monitoring</t>
  </si>
  <si>
    <t>The Secure Platform shall monitor the performance and health of applications.</t>
  </si>
  <si>
    <t>Provide Centralized Logging and Monitoring</t>
  </si>
  <si>
    <t>100000002174 Application Hosting in Kubernetes</t>
  </si>
  <si>
    <t>The Secure Platform shall provide a container orchestration environment.</t>
  </si>
  <si>
    <t>Provide Containerization and Microservices Management</t>
  </si>
  <si>
    <t>100000002175 Application Performance and Health Metrics</t>
  </si>
  <si>
    <t>When tracking performance and health metrics, Secure Platform shall monitor and log health data for applications.</t>
  </si>
  <si>
    <t>100000002176 Archive and Retrieval of Historical Log Data</t>
  </si>
  <si>
    <t>When log data is created or edited, the Secure Platform shall securely archive and retrieve historical log data.</t>
  </si>
  <si>
    <t>Automated Retrieval</t>
  </si>
  <si>
    <t>100000002177 Authentication Credential Encryption at Rest</t>
  </si>
  <si>
    <t>Secure Platform Shall encrypt authentication credentials at rest.</t>
  </si>
  <si>
    <t>Conduct Compliance and Security Checks</t>
  </si>
  <si>
    <t>100000002178 Authentication Credential Encryption in Transit</t>
  </si>
  <si>
    <t>Secure Platform Shall encrypt authentication credentials in transit.</t>
  </si>
  <si>
    <t>100000002179 Automated Application Deployment</t>
  </si>
  <si>
    <t>The Secure Platform automate deployment and update applications through the Continuous Integration/Continuous pipeline.</t>
  </si>
  <si>
    <t>Establish Automated CI/CD Pipeline(s)</t>
  </si>
  <si>
    <t>100000002180 Automated Backup Failover</t>
  </si>
  <si>
    <t>If a failure event occurs, the Secure Platform shall automate failover mechanisms to switch to backup systems.</t>
  </si>
  <si>
    <t>Backup and Recovery</t>
  </si>
  <si>
    <t>100000002181 Automated Backup of Deployed Systems and Data</t>
  </si>
  <si>
    <t>The Secure Platform shall automate backup processes for all deployed systems and data.</t>
  </si>
  <si>
    <t>Backup and Recovery Operator Deployment</t>
  </si>
  <si>
    <t>100000002182 Automated Discovery of Micro services</t>
  </si>
  <si>
    <t>The Secure Platform shall automatically discover micro services within the service mesh.</t>
  </si>
  <si>
    <t>Implement Service Discovery</t>
  </si>
  <si>
    <t>100000002183 Automated Registration of Micro services</t>
  </si>
  <si>
    <t>The Secure Platform shall automatically register micro services within the service mesh.</t>
  </si>
  <si>
    <t>100000002184 Automated Secrets Rotation</t>
  </si>
  <si>
    <t>Secure Platform shall enforce automated rotation of secrets.</t>
  </si>
  <si>
    <t>Conduct Compliance and Security Checks,Rotate Secrets</t>
  </si>
  <si>
    <t>100000002185 Availability and Disaster Recovering Testing</t>
  </si>
  <si>
    <t>The Secure Platform shall implement periodic testing of disaster recovery mechanisms.</t>
  </si>
  <si>
    <t>Disaster Recovery</t>
  </si>
  <si>
    <t>100000002186 Availability Metric Reporting</t>
  </si>
  <si>
    <t>The Secure Platform shall log and monitor for availability-related metrics and events.</t>
  </si>
  <si>
    <t>100000002187 Backup and Recovery Documentation</t>
  </si>
  <si>
    <t>The Secure Platform shall provide documentation for managing backup and recovery processes.</t>
  </si>
  <si>
    <t>Backup and Recovery,Define Backup Policy (Application Config),Define Backup Policy (Cluster Config)</t>
  </si>
  <si>
    <t>100000002188 Backup and Recovery of Containerized Applications</t>
  </si>
  <si>
    <t>When requested, the Secure Platform shall backup and recover containerized applications and their associated data.</t>
  </si>
  <si>
    <t>Backup and Recovery,Backup and Recovery Operator Deployment</t>
  </si>
  <si>
    <t>100000002189 Backup and Recovery Validation</t>
  </si>
  <si>
    <t>The Secure Platform shall test and validate the backup and recovery process.</t>
  </si>
  <si>
    <t>100000002190 Backup Process User Interface</t>
  </si>
  <si>
    <t>While managing and monitoring backup processes, the Secure Platform shall provide a user interface.</t>
  </si>
  <si>
    <t>100000002191 Centralized Logging of Application Components</t>
  </si>
  <si>
    <t>The Secure Platform shall have centralized logging for required application components.</t>
  </si>
  <si>
    <t>100000002192 Centralized Logging of Infrastructure Components</t>
  </si>
  <si>
    <t>The Secure Platform shall provide centralized logging for required infrastructure components.</t>
  </si>
  <si>
    <t>100000002193 CI/CD Pipeline Logging</t>
  </si>
  <si>
    <t>The Secure Platform shall create detailed logs of Continuous Integration/Continuous Delivery pipeline execution.</t>
  </si>
  <si>
    <t>100000002194 CI/CD Pipeline Status and Performance Visualization</t>
  </si>
  <si>
    <t>The Secure Platform shall provide dashboard interfaces to visualize the status and performance of Continuous Integration/Continuous Deployment pipelines.</t>
  </si>
  <si>
    <t>Automated Continuous Integration and Continuous Delivery (CI/CD),Establish Automated CI/CD Pipeline(s)</t>
  </si>
  <si>
    <t>100000002195 CI/CD Pipeline Status Visualization</t>
  </si>
  <si>
    <t>The Secure Platform shall provide Continuous Integration/Continuous Deployment pipeline status notification.</t>
  </si>
  <si>
    <t>100000002196 CI/CD Vulnerability Scanning</t>
  </si>
  <si>
    <t>The Secure Platform shall integrate security scanning tools into the CI/CD pipeline.</t>
  </si>
  <si>
    <t>100000002197 Client Device Configuration</t>
  </si>
  <si>
    <t>The Secure Platform client devices, identified for information technology products, shall be configured in accordance with CTM R200.</t>
  </si>
  <si>
    <t>Perform Configuration Management</t>
  </si>
  <si>
    <t>100000002198 Compliance Audit of VM Configuration</t>
  </si>
  <si>
    <t>The Secure Platform shall employ compliance auditing of VM configurations.</t>
  </si>
  <si>
    <t>100000002199 Compliance Audit of VM Management Activities</t>
  </si>
  <si>
    <t>The Secure Platform shall employ compliance auditing of VM management activities.</t>
  </si>
  <si>
    <t>100000002200 Compliance Auditing of Configuration Management</t>
  </si>
  <si>
    <t>The Secure Platform shall employ compliance auditing of configuration management activities.</t>
  </si>
  <si>
    <t>100000002201 Compliance Auditing of Provisioning</t>
  </si>
  <si>
    <t>The Secure Platform shall employ compliance auditing of provisioning activities.</t>
  </si>
  <si>
    <t>100000002202 Component Health and Performance Monitoring</t>
  </si>
  <si>
    <t>The Secure Platform shall monitor the performance and health of infrastructure and application components.</t>
  </si>
  <si>
    <t>Container Security Scanner Deployed</t>
  </si>
  <si>
    <t>100000002203 Configuration Drift Detection</t>
  </si>
  <si>
    <t>The Secure Platform shall detect configuration drifts.</t>
  </si>
  <si>
    <t>Perform Configuration Management,Platform Baselined and Monitored for Drift</t>
  </si>
  <si>
    <t>100000002204 Configuration Drift Detection Alerts</t>
  </si>
  <si>
    <t>The Secure Platform shall provide configuration drift alerts.</t>
  </si>
  <si>
    <t>100000002205 Configuration Management Script Version Control</t>
  </si>
  <si>
    <t>The Secure Platform shall employ version control of configuration management scripts.</t>
  </si>
  <si>
    <t>Store scripts for Version Control</t>
  </si>
  <si>
    <t>100000002206 Configuration Management User Interface Manager</t>
  </si>
  <si>
    <t>The Secure Platform shall provide a user interface for managing provisioning scripts.</t>
  </si>
  <si>
    <t>100000002207 Configuration Tool Environment-Specific Tailoring</t>
  </si>
  <si>
    <t>While the Secure Platform is being deployed, it shall manage environment-specific settings.</t>
  </si>
  <si>
    <t>100000002208 Containerized Application Deployment via CI/CD Pipeline</t>
  </si>
  <si>
    <t>The Secure Platform shall deploy containerized applications through a Continuous Integration/ Continuous Deployment pipeline.</t>
  </si>
  <si>
    <t>Deploy to Approval and Production Environment,Deploy Container-based Application</t>
  </si>
  <si>
    <t>100000002209 Containerized Application Health Monitoring</t>
  </si>
  <si>
    <t>The Secure Platform shall monitor containerized application health.</t>
  </si>
  <si>
    <t>Verify System Health and Metrics</t>
  </si>
  <si>
    <t>100000002210 Containerized Application Health Reporting</t>
  </si>
  <si>
    <t>When health issues are detected in containerized applications, the Secure Platform shall deploy alerts and notifications.</t>
  </si>
  <si>
    <t>100000002211 Containerized Application Security Controls</t>
  </si>
  <si>
    <t>The Secure Platform shall implement security measures for containerized applications in accordance with NIST SP 800-190.</t>
  </si>
  <si>
    <t>100000002212 Containerized Application Version Control</t>
  </si>
  <si>
    <t>The Secure Platform shall employ version control for containerized applications.</t>
  </si>
  <si>
    <t>100000002213 Credential Management</t>
  </si>
  <si>
    <t>The Secure Platform shall securely store credentials.</t>
  </si>
  <si>
    <t>100000002214 Critical Component Health and Diagnostics</t>
  </si>
  <si>
    <t>The Secure Platform shall regularly perform health checks and diagnostics on critical components and services.</t>
  </si>
  <si>
    <t>100000002215 Critical Service Load Balancing</t>
  </si>
  <si>
    <t>The Secure Platform shall employ traffic load balancing.</t>
  </si>
  <si>
    <t>Manage Load Balancing</t>
  </si>
  <si>
    <t>100000002216 Disaster Recovery</t>
  </si>
  <si>
    <t>In the event of catastrophic failure, the Secure Platform shall have disaster recovery mechanisms to restore services.</t>
  </si>
  <si>
    <t>100000002217 External Partner Access</t>
  </si>
  <si>
    <t>The Secure Platform shall provide secure access  for external users.</t>
  </si>
  <si>
    <t>Identity Broker Integrated with IdP,Access Control</t>
  </si>
  <si>
    <t>100000002218 Horizontal Scaling Triggers</t>
  </si>
  <si>
    <t>The Secure Platform shall perform horizontal scaling of containerized applications.</t>
  </si>
  <si>
    <t>Configure Auto-Scaling</t>
  </si>
  <si>
    <t>100000002219 Hosted Application Documentation</t>
  </si>
  <si>
    <t>The Secure Platform shall provide documentation for deploying hosted applications.</t>
  </si>
  <si>
    <t>Configure Applications to Standard Interface in Central Auth Provider,Containerize Applications,Define Application Segregation of Logging Data,Define Backup Policy (Application Config),Deploy Container-based Application,Enforce Container Repository Restrictions,Define Interface for Handling Application Logs</t>
  </si>
  <si>
    <t>100000002220 Hosted Application Security Controls</t>
  </si>
  <si>
    <t>The Secure Platform shall implement security controls for hosted applications to comply with NIST SP 800-171.</t>
  </si>
  <si>
    <t>100000002221 Industry-Standard Registry Usage</t>
  </si>
  <si>
    <t>The Secure Platform shall utilize industry-standard container registries.</t>
  </si>
  <si>
    <t>Enforce Container Repository Restrictions</t>
  </si>
  <si>
    <t>100000002222 Infrastructure as Code Air Gapped Deployment</t>
  </si>
  <si>
    <t>When used in air-gapped environments, the Secure Platform shall report dependencies required by Infrastructure-as-Code (IaC) scripts.</t>
  </si>
  <si>
    <t>100000002223 Infrastructure as Code for Configuration Management</t>
  </si>
  <si>
    <t>The Secure Platform shall use Infrastructure as Code (IaC) tools for configuration management.</t>
  </si>
  <si>
    <t>100000002224 Infrastructure as Code for Provisioning</t>
  </si>
  <si>
    <t>The Secure Platform shall use Infrastructure as Code (IaC) tools for provisioning.</t>
  </si>
  <si>
    <t>100000002225 Infrastructure as Code Language</t>
  </si>
  <si>
    <t>The Secure Platform shall perform infrastructure provisioning via declaritive Infrastructure as Code (IaC) languages.</t>
  </si>
  <si>
    <t>Automate the Provisioning of Infrastructure,Define Infrastructure</t>
  </si>
  <si>
    <t>100000002226 Infrastructure as Code Script Logging</t>
  </si>
  <si>
    <t>The Secure Platform shall provide logging and monitoring of IaC script execution.</t>
  </si>
  <si>
    <t>100000002227 Infrastructure as Code Script Provisions for Air Gapped Environments</t>
  </si>
  <si>
    <t>The Secure Platform shall use Infrastructure as Code (IaC) scripts in air-gapped environments.</t>
  </si>
  <si>
    <t>Develop IaC</t>
  </si>
  <si>
    <t>100000002228 Infrastructure as Code Script Validation</t>
  </si>
  <si>
    <t>Prior to deployment, the Secure Platform shall automatically test IaC scripts.</t>
  </si>
  <si>
    <t>Conduct Automated Testing</t>
  </si>
  <si>
    <t>100000002229 Infrastructure Performance and Health Monitoring</t>
  </si>
  <si>
    <t>The Secure Platform shall monitor performance and health of infrastructure components.</t>
  </si>
  <si>
    <t>Define Interface for Handling Application Logs,Deploy Logging &amp; Monitoring Operator to K8s,Provide Centralized Logging and Monitoring</t>
  </si>
  <si>
    <t>100000002230 Infrastructure Provisioning via CI/CD Pipeline</t>
  </si>
  <si>
    <t>The Secure Platform shall automate the infrastructure provisioning as part of a Continuous Integration/Continuous Deployment pipeline.</t>
  </si>
  <si>
    <t>Automate the Provisioning of Infrastructure,Develop IaC,Establish Automated CI/CD Pipeline(s)</t>
  </si>
  <si>
    <t>100000002231 Integration of a Container Runtime</t>
  </si>
  <si>
    <t>The Secure Platform shall utilize a container runtime to run containerized applications.</t>
  </si>
  <si>
    <t>Containerize Applications</t>
  </si>
  <si>
    <t>100000002232 Kubernetes Cluster Management</t>
  </si>
  <si>
    <t>The Secure Platform shall provide tools for container orchestration.</t>
  </si>
  <si>
    <t>Autoscaling of Kubernetes Cluster,Provision and Configure Kubernetes</t>
  </si>
  <si>
    <t>100000002233 Load Balancing Visualization</t>
  </si>
  <si>
    <t>The Secure Platform shall provide metrics and monitoring for load balancing activities within the service mesh.</t>
  </si>
  <si>
    <t>100000002234 Log and Monitoring Data Correlation</t>
  </si>
  <si>
    <t>The Secure Platform shall provide a unified view of aggregated log data.</t>
  </si>
  <si>
    <t>Integrate Secure Platform Core with SIEM,Provide Centralized Logging and Monitoring</t>
  </si>
  <si>
    <t>100000002235 Log At Rest Data Encryption</t>
  </si>
  <si>
    <t>The Secure Platform shall encrypt log data at rest.</t>
  </si>
  <si>
    <t>100000002236 Log Data Archiving</t>
  </si>
  <si>
    <t>The Secure Platform shall securely archive and retrieve historical log data.</t>
  </si>
  <si>
    <t>Define Interface for Handling Application Logs</t>
  </si>
  <si>
    <t>100000002237 Log in Transit Data Encryption</t>
  </si>
  <si>
    <t>The Secure Platform shall encrypt log data in transit.</t>
  </si>
  <si>
    <t>Deploy Logging &amp; Monitoring Operator to K8s</t>
  </si>
  <si>
    <t>100000002238 Logging and Monitoring Documentation</t>
  </si>
  <si>
    <t>The Secure Platform shall provide documentation for logging and monitoring capabilities.</t>
  </si>
  <si>
    <t>100000002239 Logging and Monitoring for Configuration Management Activities</t>
  </si>
  <si>
    <t>The Secure Platform shall provide logging and monitoring of configuration management activities.</t>
  </si>
  <si>
    <t>100000002240 Logging and Monitoring for Provisioning Activities</t>
  </si>
  <si>
    <t>The Secure Platform shall provide logging and monitoring of provisioning activities.</t>
  </si>
  <si>
    <t>100000002241 Logging of Secrets Management</t>
  </si>
  <si>
    <t>The Secure Platform shall provide detailed logging and monitoring of secrets management activities.</t>
  </si>
  <si>
    <t>Provide Centralized Logging and Monitoring,Audit and Monitoring</t>
  </si>
  <si>
    <t>100000002242 Maintenance Completion Notification</t>
  </si>
  <si>
    <t>The Secure Platform shall notify users when periods of maintenance have been completed.</t>
  </si>
  <si>
    <t>100000002243 Manage Build Artifacts</t>
  </si>
  <si>
    <t>The Secure Platform shall store and manage build artifacts within an artifact repository.</t>
  </si>
  <si>
    <t>100000002244 Management of Scaling Policy</t>
  </si>
  <si>
    <t>When container orchestration exists, the Secure Platform shall configure and manage scaling policies for container orchestration clusters.</t>
  </si>
  <si>
    <t>100000002245 Microservice Security Enforcement</t>
  </si>
  <si>
    <t>The Secure Platform shall enforce mutually authenticated Transport Layer Security connections between cluster members.</t>
  </si>
  <si>
    <t>Conduct Compliance and Security Checks,Container Runtime Security Deployed,Container Security Scanner Deployed,Deploy and Enforce use of Sidecar Container Security,Pod Level Zero Trust Security,Security Integration- Sidecar Container Security Stack (SCSS),Configure TLS,Deploy Ingress</t>
  </si>
  <si>
    <t>100000002246 Minimize Downtime Deployment</t>
  </si>
  <si>
    <t>The Secure Platform shall minimize downtime during updates IAW CO J100, Business Continuity and Crisis Management.</t>
  </si>
  <si>
    <t>100000002247 Multi-Cluster Deployment</t>
  </si>
  <si>
    <t>The Secure Platform shall deploy multi-cluster management solutions.</t>
  </si>
  <si>
    <t>Deploy Cluster Infrastructure,Provision and Configure Kubernetes</t>
  </si>
  <si>
    <t>100000002248 Network Interaction Management Between Microservices</t>
  </si>
  <si>
    <t>The Secure Platform shall define, monitor, and manage network interactions between microservices.</t>
  </si>
  <si>
    <t>100000002249 Operational Maintenance Notification</t>
  </si>
  <si>
    <t>The Secure Platform shall notify users for periods of maintenance.</t>
  </si>
  <si>
    <t>100000002250 Optimized Backup Storage</t>
  </si>
  <si>
    <t>During specified increments, the Secure Platform shall backup to optimize storage utilization.</t>
  </si>
  <si>
    <t>100000002251 Planned Downtime Countdown</t>
  </si>
  <si>
    <t>When an outage is planned, the Secure Platform shall display a countdown until service is taken offline to provide end users a minimum of 60 minutes notice before a planned outage.</t>
  </si>
  <si>
    <t>Provide System Maintenance</t>
  </si>
  <si>
    <t>100000002252 Planned Downtime Notification</t>
  </si>
  <si>
    <t>When in an operational state, the Secure Platform shall notify end users a minimum of 24 hours prior to planned maintenance downtime.</t>
  </si>
  <si>
    <t>Provide Maintenance Status</t>
  </si>
  <si>
    <t>100000002253 Policy Driven Traffic Management</t>
  </si>
  <si>
    <t>The Secure Platform shall enable policy-driven traffic management, including traffic splitting, mirroring, and retries.</t>
  </si>
  <si>
    <t>Deploy Service Mesh,Provide Traffic Management,Manage Traffic Routing</t>
  </si>
  <si>
    <t>100000002256 Querying and Visualizing Log Data</t>
  </si>
  <si>
    <t>The Secure Platform shall provide a user interface for querying and visualizing log data.</t>
  </si>
  <si>
    <t>100000002257 Recreation of Environments via Infrastructure as Code</t>
  </si>
  <si>
    <t>The Secure Platform shall employ infrastructure practices to ensure that environments are consistently recreated from IaC scripts.</t>
  </si>
  <si>
    <t>Define Infrastructure,Develop IaC</t>
  </si>
  <si>
    <t>100000002258 Report Generation for Backup and Recovery</t>
  </si>
  <si>
    <t>The Secure Platform shall generate reports based on backup and recovery activities.</t>
  </si>
  <si>
    <t>100000002259 Report Generation for Log and Monitoring Data</t>
  </si>
  <si>
    <t>The Secure Platform shall generate reports based on monitoring data.</t>
  </si>
  <si>
    <t>100000002260 Restoration from Backup</t>
  </si>
  <si>
    <t>When restoring data, the Secure Platform shall use data from backups in a known good state.</t>
  </si>
  <si>
    <t>100000002261 Restoration of Service Notification</t>
  </si>
  <si>
    <t>Following restoration of service, the Secure Platform shall notify end users within 15 minutes.</t>
  </si>
  <si>
    <t>100000002262 Rollback After Deployment Failure</t>
  </si>
  <si>
    <t>When there is a deployment failure, the Secure Platform shall provide rollback capabilities to previous versions.</t>
  </si>
  <si>
    <t>100000002263 Rolling Updates for Containerized Applications</t>
  </si>
  <si>
    <t>The Secure Platform shall provide rolling updates to containerized applications.</t>
  </si>
  <si>
    <t>100000002264 Scalable Infrastructure</t>
  </si>
  <si>
    <t>When demand exceeds a defined resource availability configured in the system, the Secure Platform shall automatically add infrastructure resources.</t>
  </si>
  <si>
    <t>Autoscaling of Kubernetes Cluster</t>
  </si>
  <si>
    <t>100000002265 Scalable Platform Compute Resource Allocation</t>
  </si>
  <si>
    <t>The Secure Platform shall allocate resources dynamically based on current system demands to ensure scalability of the infrastructure.</t>
  </si>
  <si>
    <t>100000002266 Scalable Platform IaaC</t>
  </si>
  <si>
    <t>The Secure Platform shall utilize Infrastructure as Code (IaC) practices to automate the provisioning and management of scalable environments.</t>
  </si>
  <si>
    <t>100000002267 Scalable Platform Infrastructure Change Management</t>
  </si>
  <si>
    <t>The Secure Platform shall maintain documentation of infrastructure changes.</t>
  </si>
  <si>
    <t>100000002268 Scalable Platform Multi-Platform Support</t>
  </si>
  <si>
    <t>The Secure Platform shall ensure compatibility with cloud and on-premises platforms.</t>
  </si>
  <si>
    <t>Define Infrastructure</t>
  </si>
  <si>
    <t>100000002269 Scalable Platform Performance Monitoring</t>
  </si>
  <si>
    <t>The Secure Platform shall implement real-time performance monitoring tools to assess system performance and identify bottlenecks.</t>
  </si>
  <si>
    <t>100000002270 Scaling for Demand Fluctuations</t>
  </si>
  <si>
    <t>The Secure Platform shall employ automatic scaling of containerized applications in response to demand fluctuations.</t>
  </si>
  <si>
    <t>Autoscaling of Kubernetes Cluster,Configure Auto-Scaling</t>
  </si>
  <si>
    <t>100000002271 Scheduled Backup</t>
  </si>
  <si>
    <t>The Secure Platform shall provide backups with configurable frequency and retention periods.</t>
  </si>
  <si>
    <t>100000002272 Script Management User Interface</t>
  </si>
  <si>
    <t>The Secure Platform shall provide a user interface for managing configuration management scripts.</t>
  </si>
  <si>
    <t>100000002273 Script Version Control</t>
  </si>
  <si>
    <t>The Secure Platform employ version control for configuration management scripts.</t>
  </si>
  <si>
    <t>Perform Configuration Management,Commit Code</t>
  </si>
  <si>
    <t>100000002274 Secret Management Encryption at Rest</t>
  </si>
  <si>
    <t>The Secure Platform shall encrypt secrets using FIPS 140-approved algorithms at rest.</t>
  </si>
  <si>
    <t>Conduct Compliance and Security Checks,Store Secrets</t>
  </si>
  <si>
    <t>100000002275 Secret Management Encryption in Transit</t>
  </si>
  <si>
    <t>The Secure Platform shall encrypt secrets using FIPS 140-approved algorithms in transit.</t>
  </si>
  <si>
    <t>100000002276 Secrets Distribution to Applications and Services</t>
  </si>
  <si>
    <t>The Secure Platform shall securely distribute secrets to applications and services.</t>
  </si>
  <si>
    <t>100000002277 Secrets Import and Export</t>
  </si>
  <si>
    <t>The Secure Platform shall import and export secrets using cryptography.</t>
  </si>
  <si>
    <t>100000002278 Secrets Revocation and Expiration</t>
  </si>
  <si>
    <t>The Secure Platform shall configure duration expiration and revocation of secrets IAW CTM R200.</t>
  </si>
  <si>
    <t>100000002279 Secure Application Development and Deployment Documentation</t>
  </si>
  <si>
    <t>The Secure Platform shall provide documentation for secure application development and deployment.</t>
  </si>
  <si>
    <t>100000002280 Secure Platform Container Build</t>
  </si>
  <si>
    <t>The Secure Platform shall provide container creation, testing, and deployment capability.</t>
  </si>
  <si>
    <t>Deploy Containers,Provide Containerization and Microservices Management</t>
  </si>
  <si>
    <t>100000002281 Security Event Logging</t>
  </si>
  <si>
    <t>The Secure Platform shall log and audit all security-related events and actions.</t>
  </si>
  <si>
    <t>100000002282 Single Sign On Authentication</t>
  </si>
  <si>
    <t>The Secure Platform shall employ Single Sign-On (SSO) IAW Modern Authentication policy CTM R203 to streamline user authentication processes.</t>
  </si>
  <si>
    <t>Provide Centralized Authentication and Authorization</t>
  </si>
  <si>
    <t>100000002283 Stored Secret Monitoring and Management</t>
  </si>
  <si>
    <t>The Secure Platform shall employ a user interface that securely manages and monitors stored secrets.</t>
  </si>
  <si>
    <t>Securely Manage Secrets</t>
  </si>
  <si>
    <t>100000002284 System Availability Monitoring</t>
  </si>
  <si>
    <t>The Secure Platform shall provide monitoring and alerts for system availability.</t>
  </si>
  <si>
    <t>100000002285 System Feature Checkout</t>
  </si>
  <si>
    <t>Following system maintenance, the Secure Platform shall perform post deployment automated regression testing.</t>
  </si>
  <si>
    <t>100000002286 System Feature Checkout Reporting</t>
  </si>
  <si>
    <t>Following System Feature checkout, the Secure Platform shall provide a status report.</t>
  </si>
  <si>
    <t>100000002287 System Load Balancing</t>
  </si>
  <si>
    <t>When accomplishing network load balancing, the Secure Platform shall allocate available computing resources without capping any individual resource or disrupting user processing.</t>
  </si>
  <si>
    <t>100000002288 System Performance Alerts</t>
  </si>
  <si>
    <t>The Secure Platform shall provide performance alerts.</t>
  </si>
  <si>
    <t>100000002289 System Performance Reporting</t>
  </si>
  <si>
    <t>While the Secure Platform is in an operational state, at the frequency defined in the System Sustainment Plan [TBD reference], the Secure Platform shall document, in a human readable report, system status of elements identified in the System Sustainment Plan in a user designated location..</t>
  </si>
  <si>
    <t>Verify System Health and Metrics,Provide Maintenance Status</t>
  </si>
  <si>
    <t>100000002290 Unplanned Downtime Notification</t>
  </si>
  <si>
    <t>Within 30 minutes of service going down, Secure Platform shall notify end users of unexpected interruption of service.</t>
  </si>
  <si>
    <t>100000002291 Validation of Configuration Scripts</t>
  </si>
  <si>
    <t>The Secure Platform shall automate validation and testing of provisioning and configuration scripts before deployment.</t>
  </si>
  <si>
    <t>100000002292 Version Control System Integration</t>
  </si>
  <si>
    <t>The Secure Platform shall perform version control within automated build processes.</t>
  </si>
  <si>
    <t>Trigger Automated Build,Conduct Automated Testing</t>
  </si>
  <si>
    <t>100000002293 VM Deployment</t>
  </si>
  <si>
    <t>The Secure Platform shall provision virtual machines (VMs) within both cloud and on-prem environments.</t>
  </si>
  <si>
    <t>100000002294 VM Documentation</t>
  </si>
  <si>
    <t>The Secure Platform shall create documentation and guidelines for VM provisioning, management, and best practices.</t>
  </si>
  <si>
    <t>100000002295 VM Lifecycle Management Interface</t>
  </si>
  <si>
    <t>The Secure Platform shall provide an interface for managing VM lifecycles, including start, stop, restart, and snapshot capabilities.</t>
  </si>
  <si>
    <t>100000002296 VM Management API</t>
  </si>
  <si>
    <t>The Secure Platform shall allow the creation, configuration, and deletion of VMs programmatically through APIs.</t>
  </si>
  <si>
    <t>100000002297 VM Migration Between Environments</t>
  </si>
  <si>
    <t>When in an operational state, the Secure Platform shall provide migration of virtual machines between different environments to include between different cloud providers and on-prem to cloud.</t>
  </si>
  <si>
    <t>100000002298 VM Performance Monitoring</t>
  </si>
  <si>
    <t>The Secure Platform shall provide monitoring and logging for VM performance metrics, including CPU, memory, disk usage, and network activity.</t>
  </si>
  <si>
    <t>2.2.1.2 Cyber Non-Baselined Requirements</t>
  </si>
  <si>
    <t>When a system user attempts to log in, the Secure Platform shall create an audit log.</t>
  </si>
  <si>
    <t>The Secure Platform shall log system user activities.</t>
  </si>
  <si>
    <t>The Secure Platform shall have access control policies that can be uniquely set per application.</t>
  </si>
  <si>
    <t>The Secure Platform shall log access control changes.</t>
  </si>
  <si>
    <t>When a user is no longer in the system, the Secure Platform shall automatically revoke access..</t>
  </si>
  <si>
    <t>Access Control</t>
  </si>
  <si>
    <t>The Secure Platform shall define and enforce password policies, including complexity, expiration, and reuse limitations.</t>
  </si>
  <si>
    <t>When the system detects anomalies or security incidents, the Secure Platform shall provide real-time alerts and notifications.</t>
  </si>
  <si>
    <t>When managing external and internal API traffic, the Secure Platform shall employ API gateways.</t>
  </si>
  <si>
    <t>The Secure Platform shall have a user interface for managing and monitoring APIs and their interactions within the service mesh.</t>
  </si>
  <si>
    <t>While the Secure Platform is in an operational state, the Secure Platform shall automate anomaly detection.</t>
  </si>
  <si>
    <t>When a log is generated, the Secure Platform shall automate log analysis.</t>
  </si>
  <si>
    <t>The Secure Platform shall ensure compliance with NIST 800-53 for backup and recovery processes.</t>
  </si>
  <si>
    <t>Backup and Recovery,Define Backup Policy (Cluster Config)</t>
  </si>
  <si>
    <t>When data is in transit or at rest, the Secure Platform shall encrypt all backup data.</t>
  </si>
  <si>
    <t>The Secure Platform shall verify the integrity and completeness of backup data.</t>
  </si>
  <si>
    <t>When a backup success, failure, or anomaly occurs, the Secure Platform shall provide real-time alerts and notifications.</t>
  </si>
  <si>
    <t>The Secure Platform shall utilize biometric authentication methods.</t>
  </si>
  <si>
    <t>When storing and managing sensitive information such as API keys, passwords, and certificates, the Secure Platform shall have a centralized secrets management solution.</t>
  </si>
  <si>
    <t>The Secure Platform shall automate security testing as part of the Continuous Integration/Continuous Deployment pipeline.</t>
  </si>
  <si>
    <t>When external partner interactions and access controls occur, the Secure Platform shall employ compliance auditing.</t>
  </si>
  <si>
    <t>Prior to deployment, the Secure Platform shall scan container images for vulnerabilities.</t>
  </si>
  <si>
    <t>Deploy to Approval and Production Environment,Conduct Compliance and Security Checks</t>
  </si>
  <si>
    <t>When containerized applications are executing, the Secure Platform shall employ runtime security monitoring and protection.</t>
  </si>
  <si>
    <t>Container Runtime Security Deployed</t>
  </si>
  <si>
    <t>The Secure Platform shall ensure high availability of all critical components and services, with a target uptime of 99.99%.</t>
  </si>
  <si>
    <t>While the Secure Platform is in a development phase, the Secure Platform shall ensure the compliance for each identified Continuous Integration/Continuous Deployment pipeline process IAW NIST 800-53.</t>
  </si>
  <si>
    <t>At a frequency IAW the [TBD Cyber Security reference], the Secure Platform will scan system infrastructure and installed applications for cyber threats.</t>
  </si>
  <si>
    <t>At the frequency defined in the System Security Plan [TBD reference], the Secure Platform shall document, in a human readable report, threats identified during Cyber Security scans of elements identified in the System Security Plan in a user designated location.</t>
  </si>
  <si>
    <t>The Secure Platform shall have data retention capability with an ability to specify the period of retention dating from the original backup date.</t>
  </si>
  <si>
    <t>When new versions of drivers are added to the platform, the Secure Platform shall remove the outdated drivers.</t>
  </si>
  <si>
    <t>While the Secure Platform is in an operational state, Secure Platform shall encrypt communication channels.</t>
  </si>
  <si>
    <t>While the Secure Platform is in an operational state, the Secure Platform shall encrypt communication channels between microservices to ensure data security.</t>
  </si>
  <si>
    <t>While interacting with external partners, the Secure Platform shall encrypt communication channels.</t>
  </si>
  <si>
    <t>The Secure Platform shall encrypt network infrastructure and hosted application containers IAW the [TBD Cyber Security reference].</t>
  </si>
  <si>
    <t>The Secure Platform shall integrate with an external identity provider (IdP) for authentication.</t>
  </si>
  <si>
    <t>Identity Broker Integrated with IdP</t>
  </si>
  <si>
    <t>When authenticating and authorizing microservices, the Secure Platform shall integrate with external identity provider.</t>
  </si>
  <si>
    <t>Once approved through the Network Design Review Board IAW CTM R200 Border Crossing Proposals, the Secure Platform shall connect to external networks defined in the System Security Plan.</t>
  </si>
  <si>
    <t>The Secure Platform shall integrate with existing firewall solutions to enforce security policies within the service mesh.</t>
  </si>
  <si>
    <t>The Secure Platform shall deploy applications and services across multiple geographic regions.</t>
  </si>
  <si>
    <t>Deploy Container-based Application</t>
  </si>
  <si>
    <t>When hosting applications, the Secure Platform shall implement security controls in accordance with NIST 800-53.</t>
  </si>
  <si>
    <t>When data is at rest or in transit, the Secure Platform shall encrypt the data for hosted applications.</t>
  </si>
  <si>
    <t>When hosting applications, the Secure Platform shall continuously monitor and assess security controls.</t>
  </si>
  <si>
    <t>Audit and Monitoring,Provide Centralized Logging and Monitoring</t>
  </si>
  <si>
    <t>While the Secure Platform is in an operational state, when authenticating and authorizing, the Secure Platform shall integrate with external identity and access management (IAM) systems.</t>
  </si>
  <si>
    <t>The Secure Platform shall ensure that all IaC scripts comply with NIST 800-53 and NIST 800-171.</t>
  </si>
  <si>
    <t>Conduct Compliance and Security Checks,Develop IaC</t>
  </si>
  <si>
    <t>When transferring IaC scripts to and from air-gapped systems, the Secure Platform shall transfer them securely.</t>
  </si>
  <si>
    <t>The Secure Platform shall audit infrastructure configurations defined by IaC scripts.</t>
  </si>
  <si>
    <t>Conduct Automated Testing,Conduct Compliance and Security Checks, Perform Configuration Management</t>
  </si>
  <si>
    <t>The Secure Platform shall integrate the with external Security Information and Event Management (SIEM) systems.</t>
  </si>
  <si>
    <t>Integrate Secure Platform Core with SIEM</t>
  </si>
  <si>
    <t>The Secure Platform shall isolate resources accessed by external partners from internal resources.</t>
  </si>
  <si>
    <t>For retention period identified IAW the NIST 800-171,  the Secure Platform shall store log data.</t>
  </si>
  <si>
    <t>The Secure Platform shall monitor configurations IAW NIST 800-53 and NIST 800-171.</t>
  </si>
  <si>
    <t>At a frequency IAW R200, the Secure Platform shall scan computing resources and systems for malicious software.</t>
  </si>
  <si>
    <t>When applications deployed on the manufacturing floor are executing, the Secure Platform shall secure communication channels.</t>
  </si>
  <si>
    <t>When a secrets management solution exists, the Secure Platform shall employ multi-factor authentication (MFA) for accessing the secrets management solution.</t>
  </si>
  <si>
    <t>When security-sensitive applications and services exist, the Secure Platform shall implement multi-factor authentication (MFA) for accessing security-sensitive applications and services.</t>
  </si>
  <si>
    <t>When providing access, the Secure Platform shall employ multi-factor authentication (MFA) for access to the Secure Platform.</t>
  </si>
  <si>
    <t>When multiple systems exist, the Secure Platform shall federate identity management to allow for single sign-on across multiple systems.</t>
  </si>
  <si>
    <t>Deploy Identity Broker,Identity Broker Integrated with IdP</t>
  </si>
  <si>
    <t>When user nationality is defined in the Active Directory, the Secure Platform shall restrict access to system features based on user nationality.</t>
  </si>
  <si>
    <t>The Secure Platform network devices shall be configured in accordance with CTM R200.</t>
  </si>
  <si>
    <t>The Secure Platform shall define and enforce network segmentation policies within the service mesh.</t>
  </si>
  <si>
    <t>When external partners exist, the Secure Platform shall securely onboard and offboard external partners.</t>
  </si>
  <si>
    <t>The Secure Platform shall create documentation and guidelines for external partners to securely interact with the platform.</t>
  </si>
  <si>
    <t>The Secure Platform shall follow each step of the RMF, including categorization, selection, implementation, assessment, authorization, and continuous monitoring, as outlined in NIST SP 800-37.</t>
  </si>
  <si>
    <t>When risk activities exist, the Secure Platform shall document system details for risk assessment activities.</t>
  </si>
  <si>
    <t>While the Secure Platform is in a developmental phase, the Secure Platform shall establish a process for applying the NIST SP 800-37 Risk Management Framework (RMF) to systematically assess and manage system risks.</t>
  </si>
  <si>
    <t>While the Secure Platform is in an operational state, and there are changes to the system or environment, the Secure Platform shall establish continuous monitoring procedures to regularly review and update risk assessments based on changes to the system or environment.</t>
  </si>
  <si>
    <t>While the Secure Platform is in an developmental phase, the Secure Platform shall maintain comprehensive documentation of RMF activities, including risk assessment results, decisions made, and management strategies implemented.</t>
  </si>
  <si>
    <t>The Secure Platform shall employ a standardized methodology for assessing identified risks, including analysis of likelihood and impact to prioritize risk management efforts.</t>
  </si>
  <si>
    <t>The Secure Platform shall implement a structured process for identifying potential risks associated with the system, including vulnerabilities, threats, and impacts.</t>
  </si>
  <si>
    <t>The Secure Platform shall utilize predefined RMF templates to document assessments for consistency and completeness in risk management reporting.</t>
  </si>
  <si>
    <t>When managed permissions exist, Secure Platform shall employ role-based access control (RBAC) for managing permissions within the Continuous Integration/Continuous Deployment pipeline.</t>
  </si>
  <si>
    <t>When managed permissions exist, the Secure Platform shall employ role-based access control (RBAC) for managing permissions related to provisioning and configuration management activities.</t>
  </si>
  <si>
    <t>When managed permissions and external partners exist, the Secure Platform shall employ role-based access control (RBAC) to manage permissions and access levels for external partners.</t>
  </si>
  <si>
    <t>When managed permissions exist, the Secure Platform shall employ role-based access control (RBAC) for managing permissions related to IaC script execution.</t>
  </si>
  <si>
    <t>When and managed permissions exist, the Secure Platform shall employ role-based access control (RBAC) for managing permissions related to the PPM application.</t>
  </si>
  <si>
    <t>When and managed permissions exist, the Secure Platform shall employ role-based access control (RBAC) for managing permissions related to security integration activities.</t>
  </si>
  <si>
    <t>The Secure Platform shall implement role-based access control (RBAC) to manage user permissions and roles.</t>
  </si>
  <si>
    <t>When managed permissions exist, the Secure Platform shall employ role-based access control (RBAC) for managing permissions related to VM management activities.</t>
  </si>
  <si>
    <t>When managed permissions exist, the Secure Platform shall employ role-based access control (RBAC) for managing permissions related to availability and continuity operations.</t>
  </si>
  <si>
    <t>When managed permissions exist, the Secure Platform shall employ role-based access control (RBAC) related to provisioning and configuration management activities.</t>
  </si>
  <si>
    <t>When user roles exist, the Secure Platform shall restrict access to system features based on defined user role.</t>
  </si>
  <si>
    <t>The Secure Platform shall automatically activate a pattern hiding screen saver requiring user authentication to return to regular system access after no more than 20 minutes of system inactivity on all company computing devices IAW CTM R200.</t>
  </si>
  <si>
    <t>When access and modification actions are performed on stored secrets, the Secure Platform shall log all access and modification actions performed on stored secrets,</t>
  </si>
  <si>
    <t>Audit and Monitoring,Store Secrets</t>
  </si>
  <si>
    <t>When a secret is accessible to authorized users, the Secure Platform shall provide APIs for securely accessing and managing secrets programmatically.</t>
  </si>
  <si>
    <t>When external partners are granted access, the Secure Platform shall provide secure APIs for external partners to interact with platform services.</t>
  </si>
  <si>
    <t>When Secure Platform is deployed on the manufacturing floor, it shall provide secure communication channels for applications.</t>
  </si>
  <si>
    <t>When users are interacting with the containerized environment, the Secure Platform shall enforce access controls and permissions.</t>
  </si>
  <si>
    <t>The Secure Platform shall implement the ability to scan container images for vulnerabilities before deployment IAW NIST-800.37, .171, .190, .53.</t>
  </si>
  <si>
    <t>The Secure Platform shall manage containers from authorized sources.</t>
  </si>
  <si>
    <t>The Secure Platform shall utilize automated deployment scripts that configure and run containerized environments in accordance with approved security guidelines.</t>
  </si>
  <si>
    <t>When a user is interacting with the containerized environment, the Secure Platform shall implement logging and auditing mechanisms to track activities and system changes within the containerized environment.</t>
  </si>
  <si>
    <t>The Secure Platform shall configure network security controls, such as firewalls and segmentation, to protect the containerized environment from unauthorized access.</t>
  </si>
  <si>
    <t>The Secure Platform shall establish patch management policies to ensure that all container images and underlying systems are regularly updated with security patches.</t>
  </si>
  <si>
    <t>The Secure Platform shall ensure that all deployed containerized environments comply with relevant security policies outlined in DODI DevSecOps guidance.</t>
  </si>
  <si>
    <t>The Secure Platform shall incorporate intrusion detection and monitoring tools within the containerized environment to identify and respond to security threats in real time.</t>
  </si>
  <si>
    <t>The Secure Platform shall support regular security assessments and penetration testing of hosted applications.</t>
  </si>
  <si>
    <t>The Secure Platform shall integrate security controls into the CI/CD pipeline IAW NIST SP 800-53.</t>
  </si>
  <si>
    <t>Deploy to Staging Environment,Conduct Automated Testing,Conduct Compliance and Security Checks</t>
  </si>
  <si>
    <t>When a security incident is detected, the Secure Platform shall provide real-time alerts and notifications regarding the incident.</t>
  </si>
  <si>
    <t>The Secure Platform shall support automated alerts and notifications for any suspicious or unauthorized activities performed by system users.</t>
  </si>
  <si>
    <t>Audit and Monitoring</t>
  </si>
  <si>
    <t>The Secure Platform shall provide a service mesh control plane to manage traffic, security policies, and observability for microservices.</t>
  </si>
  <si>
    <t>The Secure Platform shall provide observability features, including logging, metrics, and tracing, for all microservices within the service mesh.</t>
  </si>
  <si>
    <t>When a user session is terminated, the Secure Platform shall require reauthentication for the respective user account prior to establishing a new session.</t>
  </si>
  <si>
    <t>While in an operational state, when a user session becomes inactive, the Secure Platform shall enforce session timeouts and automatic logout after periods of inactivity lasting no more than 20 minutes IAW CTM R200.</t>
  </si>
  <si>
    <t>The Secure Platform shall failover/fallback in accordance with CO J100.</t>
  </si>
  <si>
    <t>The Secure Platform shall support virtual machine clustering and high availability configurations to prevent single points of failure.</t>
  </si>
  <si>
    <t>The Secure Platform shall provide documentation and guidelines for maintaining system availability.</t>
  </si>
  <si>
    <t>At least once every 24 hours the Secure Platform shall backup structured and unstructured data stored within the system.</t>
  </si>
  <si>
    <t>After each scan is complete, the Secure Platform shall document, in a human readable report, system vulnerabilities in a user designated location in accordance with the System Security Plan.</t>
  </si>
  <si>
    <t>In a frequency as defined in the System Security Plan, the Secure Platform shall upload compliance with system vulnerabilities scans.</t>
  </si>
  <si>
    <t>Conduct Compliance and Security Checks,Conduct Automated Testing,Container Runtime Security Deployed,Container Security Scanner Deployed</t>
  </si>
  <si>
    <t>While the Secure Platform is in an operational state, the Secure Platform shall create an audit trail for each administrative and user access actions IAW NIST 800-171.</t>
  </si>
  <si>
    <t>The Secure Platform shall backup and restore virtual machines to ensure data integrity and availability.</t>
  </si>
  <si>
    <t>When virtual machine performance issues and security incidents occur, the Secure Platform shall deploy real-time alerts and notifications.</t>
  </si>
  <si>
    <t>The Secure Platform shall implement security controls for VMs in accordance with NIST 800-53 and NIST 800-171.</t>
  </si>
  <si>
    <t>Deferred</t>
  </si>
  <si>
    <t>100000002254 Provide Structured Data Storage</t>
  </si>
  <si>
    <t>The Secure Platform shall provide a repository for structured data.</t>
  </si>
  <si>
    <t>100000002255 Provide Unstructured Data Storage</t>
  </si>
  <si>
    <t>The Secure Platform shall provide a repository for unstructured data.</t>
  </si>
  <si>
    <t>IoT Device Integrations on Manufacturing Floor</t>
  </si>
  <si>
    <t>The Secure Platform shall integrate with manufacturing floor applications, IoT devices and other industrial systems.</t>
  </si>
  <si>
    <t>Deployment of Hosted Application on the Manufacturing Floor</t>
  </si>
  <si>
    <t>Manufacturing Floor Integration</t>
  </si>
  <si>
    <t>IDE Capability</t>
  </si>
  <si>
    <t>IDE_Requirement_Id</t>
  </si>
  <si>
    <t>Requirement Text</t>
  </si>
  <si>
    <t>Configure and deploy Integrated Digital Environment</t>
  </si>
  <si>
    <t>The Integrated Digital Engineering Ecosystem shall only allow authorized personnel to perform configuration and deployment.</t>
  </si>
  <si>
    <t xml:space="preserve">User Management </t>
  </si>
  <si>
    <t>The Integrated Digital Engineering Ecosystem shall log and notify authorized users of errors during account management.</t>
  </si>
  <si>
    <t>The Integrated Digital Engineering Ecosystem shall enable authorized users to manage user account permissions.</t>
  </si>
  <si>
    <t>Application Migration and Upgrade</t>
  </si>
  <si>
    <t>The Integrated Digital Engineering Ecosystem shall establish a migration capability that provides the ability to migrate or upgrade systems and applications.</t>
  </si>
  <si>
    <t>The Integrated Digital Engineering Ecosystem shall implement data backup procedures to ensure that authoritative data is securely backed up prior to executing the migration or upgrade.</t>
  </si>
  <si>
    <t>The Integrated Digital Engineering Ecosystem shall maintain auditable logs of all migration or upgrade activities, documenting changes made, reasons for changes, and responsible personnel.</t>
  </si>
  <si>
    <t>The Integrated Digital Engineering Ecosystem shall perform post-migration validation to ensure that all systems and applications are functioning as expected and that no data loss has occurred.</t>
  </si>
  <si>
    <t>The Integrated Digital Engineering Ecosystem shall provide pre-validation to evaluate how the migration or upgrade will affect existing systems, applications, and data integrity.</t>
  </si>
  <si>
    <t>The Integrated Digital Engineering Ecosystem shall identify and document stakeholders involved in the migration or upgrade process.</t>
  </si>
  <si>
    <t>Configuration Management</t>
  </si>
  <si>
    <t>The Integrated Digital Engineering Ecosystem's authorized only personnel shall manage configurations.</t>
  </si>
  <si>
    <t>The Integrated Digital Engineering Ecosystem shall adhere to configuration management best practices and standards.</t>
  </si>
  <si>
    <t>The Integrated Digital Engineering Ecosystem shall notify users of failed configuration updates or conflicts.</t>
  </si>
  <si>
    <t>The Integrated Digital Engineering Ecosystem shall track and manage configuration changes across integrated tools and environments.</t>
  </si>
  <si>
    <t>The Integrated Digital Engineering Ecosystem shall ensure security policies are followed regarding configuration access.</t>
  </si>
  <si>
    <t>The Integrated Digital Engineering Ecosystem shall provide user-friendly interface for viewing and managing configurations.</t>
  </si>
  <si>
    <t>The Integrated Digital Engineering Ecosystem shall collect feedback from developers and users regarding their experiences with new configurations, summarizing findings for review.</t>
  </si>
  <si>
    <t xml:space="preserve">The Integrated Digital Engineering Ecosystem shall enable configuration and deployment of integrated digital environments that support NGIDE tool solutions. </t>
  </si>
  <si>
    <t>The Integrated Digital Engineering Ecosystem shall log deployment errors.</t>
  </si>
  <si>
    <t>The Integrated Digital Engineering Ecosystem shall provide an interface for environment setup.</t>
  </si>
  <si>
    <t xml:space="preserve">The Integrated Digital Engineering Ecosystem shall ensure secure access to configuration settings and deployment processes. </t>
  </si>
  <si>
    <t>The Integrated Digital Engineering Ecosystem shall provide the summary status of deployment.</t>
  </si>
  <si>
    <t>The Integrated Digital Engineering Ecosystem shall comply with organizational security policies.</t>
  </si>
  <si>
    <t>Data Management</t>
  </si>
  <si>
    <t>The Integrated Digital Engineering Ecosystem shall enable authorized user access to data management features.</t>
  </si>
  <si>
    <t>The Integrated Digital Engineering Ecosystem shall comply with data retention policies and regulations.</t>
  </si>
  <si>
    <t>The Integrated Digital Engineering Ecosystem shall support the ability to implement data management in accordance with the governing master disaster recovery plan.</t>
  </si>
  <si>
    <t>The Integrated Digital Engineering Ecosystem shall log and report failed data operations.</t>
  </si>
  <si>
    <t>The Integrated Digital Engineering Ecosystem shall enable users to manage data lifecycle processes, including storage, retrieval, and archiving.</t>
  </si>
  <si>
    <t>The Integrated Digital Engineering Ecosystem shall protect sensitive data in compliance with security policies and regulations.</t>
  </si>
  <si>
    <t>The Integrated Digital Engineering Ecosystem shall provide a user interface for data management.</t>
  </si>
  <si>
    <t>The Integrated Digital Engineering Ecosystem shall protect user data in accordance with governing data protection regulations.</t>
  </si>
  <si>
    <t>Destroy IDE</t>
  </si>
  <si>
    <t>The Integrated Digital Engineering Ecosystem shall allow only authorized personnel to perform the destruction process.</t>
  </si>
  <si>
    <t>The Integrated Digital Engineering Ecosystem shall follow data destruction best practices to comply with regulations.</t>
  </si>
  <si>
    <t>The Integrated Digital Engineering Ecosystem shall provide documented guidance to authorized users for the IDE destruction process.</t>
  </si>
  <si>
    <t>The Integrated Digital Engineering Ecosystem shall log and notify authorized users of status and issues encountered during the destruction process.</t>
  </si>
  <si>
    <t>The Integrated Digital Engineering Ecosystem shall provide the ability to  completely remove the integrated digital environment leaving the system in a stable state.</t>
  </si>
  <si>
    <t>Digital Dashboards</t>
  </si>
  <si>
    <t>The Integrated Digital Engineering Ecosystem shall support multi-user dashboard collaboration features.</t>
  </si>
  <si>
    <t>The Integrated Digital Engineering Ecosystem shall provide configurable dashboard templates to accommodate various user needs and metrics.</t>
  </si>
  <si>
    <t>The Integrated Digital Engineering Ecosystem shall integrate with data streams to ensure data availability.</t>
  </si>
  <si>
    <t>The Integrated Digital Engineering Ecosystem shall provide documentation resources to assist users in configuring and interpreting dashboards.</t>
  </si>
  <si>
    <t>The Integrated Digital Engineering Ecosystem shall support dashboard displays of key performance indicators for decision-making processes.</t>
  </si>
  <si>
    <t>The Integrated Digital Engineering Ecosystem shall maintain historical data logs.</t>
  </si>
  <si>
    <t>The Integrated Digital Engineering Ecosystem shall support customizable alerts and notifications.</t>
  </si>
  <si>
    <t>The Integrated Digital Engineering Ecosystem shall support updates to dashboards.</t>
  </si>
  <si>
    <t>The Integrated Digital Engineering Ecosystem shall provide user authentication and authorization mechanisms to secure access to dashboard configurations and data.</t>
  </si>
  <si>
    <t>The Integrated Digital Engineering Ecosystem shall enable dashboard user interaction to perform detailed analysis.</t>
  </si>
  <si>
    <t>Integrated Digital Engineering Ecosystem</t>
  </si>
  <si>
    <t>The Integrated Digital Engineering Ecosystem shall enable the ability to manage data within the digital engineering ecosystem throughout the product lifecycle.</t>
  </si>
  <si>
    <t>The Integrated Digital Engineering Ecosystem shall enable the ability to store data within the digital engineering ecosystem throughout the product lifecycle.</t>
  </si>
  <si>
    <t>The Integrated Digital Engineering Ecosystem shall support the Digital Thread Management Solution capabilities.</t>
  </si>
  <si>
    <t>The Integrated Digital Engineering Ecosystem shall enable the ability to integrate digital engineering applications throughout the product lifecycle.</t>
  </si>
  <si>
    <t>The Integrated Digital Engineering Ecosystem shall support the ability to map product lifecycle activities to the digital engineering ecosystem.</t>
  </si>
  <si>
    <t>The Integrated Digital Engineering Ecosystem shall support the ability to track performance metrics across the product lifecycle.</t>
  </si>
  <si>
    <t>The Integrated Digital Engineering Ecosystem shall provide capabilities to support hosting non-IDE applications.</t>
  </si>
  <si>
    <t>The Integrated Digital Engineering Ecosystem shall provide Planning and Collaboration Capabilities.</t>
  </si>
  <si>
    <t>The Integrated Digital Engineering Ecosystem shall provide System Engineering Factory Capabilities.</t>
  </si>
  <si>
    <t>The Integrated Digital Engineering Ecosystem shall provide Software Factory  Capabilities.</t>
  </si>
  <si>
    <t>Logging and Monitoring</t>
  </si>
  <si>
    <t>The Integrated Digital Engineering Ecosystem shall enable only authorized users to access logs.</t>
  </si>
  <si>
    <t>The Integrated Digital Engineering Ecosystem shall ensure logging practices comply with governing policy and regulations.</t>
  </si>
  <si>
    <t>The Integrated Digital Engineering Ecosystem  shall provide configurable dashboard to support logging and monitoring.</t>
  </si>
  <si>
    <t>The Integrated Digital Engineering Ecosystem shall generate alerts for critical logging failures.</t>
  </si>
  <si>
    <t>The Integrated Digital Engineering Ecosystem shall enable log aggregation to comply with governing guidance for performance.</t>
  </si>
  <si>
    <t>The Integrated Digital Engineering Ecosystem shall centralize logs from integrated tools for performance and security monitoring.</t>
  </si>
  <si>
    <t>The Integrated Digital Engineering Ecosystem shall ensure logs are protected against unauthorized access and tampering.</t>
  </si>
  <si>
    <t>The Integrated Digital Engineering Ecosystem shall generate alerts for security events.</t>
  </si>
  <si>
    <t>Maintenance and Operational State Management</t>
  </si>
  <si>
    <t>The Integrated Digital Engineering Ecosystem shall enable authorized user access to operational state information.</t>
  </si>
  <si>
    <t>The Integrated Digital Engineering Ecosystem shall generate alerts on operational events.</t>
  </si>
  <si>
    <t>The Integrated Digital Engineering Ecosystem shall secure operational state data.</t>
  </si>
  <si>
    <t>The Integrated Digital Engineering Ecosystem shall enable dashboards showing the operational status of systems.</t>
  </si>
  <si>
    <t>The Integrated Digital Engineering Ecosystem shall provide a user interface for managing user accounts.</t>
  </si>
  <si>
    <t>Multi-Factor Authentication</t>
  </si>
  <si>
    <t>The digital ecosystem shall enable only authorized users access to MFA configuration settings.</t>
  </si>
  <si>
    <t>The digital ecosystem shall implement multi-factor authentication (MFA) mechanisms for applications when granting access from the Internet or other untrusted network.</t>
  </si>
  <si>
    <t>The digital ecosystem shall support multiple MFA methods, including SMS verification codes, email links, authentication apps, and biometric verification.</t>
  </si>
  <si>
    <t>Modern Authentication Protocols</t>
  </si>
  <si>
    <t>The digital ecosystem shall enable only authorized users access to authentication protocol configuration.</t>
  </si>
  <si>
    <t>The  digital ecosystem shall enable configuration of applications to utilize approved authentication protocols, including SAML, WS-Fed, OAuth, and OIDC.</t>
  </si>
  <si>
    <t>The Integrated Digital Engineering Ecosystem shall ensure compliance with maintenance and operational state defintions.</t>
  </si>
  <si>
    <t>The Integrated Digital Engineering Ecosystem shall enable monitoring and management of the system and tools during the operational state.</t>
  </si>
  <si>
    <t>The Integrated Digital Engineering Ecosystem shall comply with organizational IT governance.</t>
  </si>
  <si>
    <t>Performance Optimization</t>
  </si>
  <si>
    <t>The Integrated Digital Engineering Ecosystem shall conduct performance optimizations to be performed by authorized users only.</t>
  </si>
  <si>
    <t>The Integrated Digital Engineering Ecosystem shall comply with internal performance standards and benchmarks.</t>
  </si>
  <si>
    <t>The Integrated Digital Engineering Ecosystem shall provide alerts for performance degradation beyond defined thresholds.</t>
  </si>
  <si>
    <t>The Integrated Digital Engineering Ecosystem shall provide tools for monitoring and optimizing the performance of the digital ecosystem components.</t>
  </si>
  <si>
    <t>The Integrated Digital Engineering Ecosystem shall implement security measures to protect sensitive performance data.</t>
  </si>
  <si>
    <t>The Integrated Digital Engineering Ecosystem users shall have access to a dashboard displaying optimization suggestions.</t>
  </si>
  <si>
    <t>Provide Work Instructions</t>
  </si>
  <si>
    <t>The Integrated Digital Engineering Ecosystem shall make work instructions  available to authorized personnel.</t>
  </si>
  <si>
    <t>The Integrated Digital Engineering Ecosystem shall implement role-based access controls.</t>
  </si>
  <si>
    <t>The Integrated Digital Engineering Ecosystem shall enable user account changes to reflect across all integrated systems.</t>
  </si>
  <si>
    <t>The Integrated Digital Engineering Ecosystem shall allow authorized users to manage user accounts within the digital ecosystem.</t>
  </si>
  <si>
    <t>The Integrated Digital Engineering Ecosystem shall limit access for processes acting on behalf of authorized users.</t>
  </si>
  <si>
    <t>The integrated Digital Engineering Ecosystem shall  perform vulnerability scans in applications  containing CUI weekly</t>
  </si>
  <si>
    <t xml:space="preserve">The Integrated Digital Engineering Ecosystem shall review, approve or disapprove changes to IDE systems. </t>
  </si>
  <si>
    <t>The Integrated Digital Engineering Ecosystem shall  terminate a user session automatically after any of the defined conditions occur.</t>
  </si>
  <si>
    <t>The Integrated Digital Engineering Ecosystem shall track and manage configuration changes across integrated tools and environments throughout the systems development life cycle.</t>
  </si>
  <si>
    <t>The Integrated Digital Engineering Ecosystem shall capture the execution of privileged functions in audit logs.</t>
  </si>
  <si>
    <t>The Integrated Digital Engineering Ecosystem shall check media containing diagnostic and test programs for malicious code before the media is used in systems.</t>
  </si>
  <si>
    <t>The Integrated Digital Engineering Ecosystem shall prevent installation of software by users</t>
  </si>
  <si>
    <t>The Integrated Digital Engineering Ecosystem customers shall control access to media containing CUI.</t>
  </si>
  <si>
    <t>The Integrated Digital Engineering Ecosystem shall correct system flaws within the specified time frame.</t>
  </si>
  <si>
    <t>The Integrated Digital Engineering Ecosystem shall define authorizations for controlling the flow of CUI.</t>
  </si>
  <si>
    <t>The Integrated Digital Engineering Ecosystem shall document incidents.</t>
  </si>
  <si>
    <t>The Integrated Digital Engineering Ecosystem shall Control the flow of CUI in accordance with approved authorizations.</t>
  </si>
  <si>
    <t xml:space="preserve">The Integrated Digital Engineering Ecosystem shall enforce minimum password change of character requirements when new passwords are created. </t>
  </si>
  <si>
    <t>The Integrated Digital Engineering Ecosystem shall  enforce minimum password complexity requirements when new passwords are created.</t>
  </si>
  <si>
    <t>The Integrated Digital Engineering Ecosystem's shall logically restrict access so that only authorized personnel can manage configurations.</t>
  </si>
  <si>
    <t>The Integrated Digital Engineering Ecosystem shall define essential programs.</t>
  </si>
  <si>
    <t>The Integrated Digital Engineering Ecosystem shall define the external system boundary.</t>
  </si>
  <si>
    <t xml:space="preserve">The Integrated Digital Engineering Ecosystem shall document connections to external systems. </t>
  </si>
  <si>
    <t>The Integrated Digital Engineering Ecosystem shall control/limit the connections to external systems.</t>
  </si>
  <si>
    <t>The Integrated Digital Engineering Ecosystem shall identify the use of external systems.</t>
  </si>
  <si>
    <t>The Integrated Digital Engineering Ecosystem shall employ FIPS-validated cryptography when used to protect the confidentiality of CUI.</t>
  </si>
  <si>
    <t>The Integrated Digital Engineering Ecosystem shall identify unauthorized use of organizational systems.</t>
  </si>
  <si>
    <t>The Integrated Digital Engineering Ecosystem shall conceal previously visible information via a pattern hiding display after 20 minutes of inactivity.</t>
  </si>
  <si>
    <t>The Integrated Digital Engineering Ecosystem shall limit access to CUI on system media to authorized users.</t>
  </si>
  <si>
    <t>The Integrated Digital Engineering Ecosystem shall notify identified authorities of incidents.</t>
  </si>
  <si>
    <t>The Integrated Digital Engineering Ecosystem shall perform malicious code scans with the defined frequency.</t>
  </si>
  <si>
    <t>The Integrated Digital Engineering Ecosystem shall protect the confidentiality of CUI.</t>
  </si>
  <si>
    <t>The Integrated Digital Engineering Ecosystem shall identify software development techniques that promote effective information security.</t>
  </si>
  <si>
    <t>The Integrated Digital Engineering Ecosystem shall establish separate accounts for individuals whose duties and accesses must be separated.</t>
  </si>
  <si>
    <t>The Integrated Digital Engineering Ecosystem shall correlate  audit record  analysis and reporting processes.</t>
  </si>
  <si>
    <t>The Integrated Digital Engineering Ecosystem shall define types of audit logging process failures for which alerts will be generated.</t>
  </si>
  <si>
    <t>The Integrated Digital Engineering Ecosystem shall identify personnel or roles to be alerted in the event of an audit logging process failure.</t>
  </si>
  <si>
    <t>The Integrated Digital Engineering Ecosystem shall specify the audit logs needed to enable the monitoring, analysis, investigation, and reporting of unlawful or unauthorized system activities.</t>
  </si>
  <si>
    <t>The Integrated Digital Engineering Ecosystem shall define methods and enforcement mechanisms for controlling the flow of CUI.</t>
  </si>
  <si>
    <t>The Integrated Digital Engineering Ecosystem shall describe and document the system boundary.</t>
  </si>
  <si>
    <t>The Integrated Digital Engineering Ecosystem shall describe and document the relationship with or connection to the other systems in the system security plan.</t>
  </si>
  <si>
    <t>The Integrated Digital Engineering Ecosystem shall describe and document the system environment of operation.</t>
  </si>
  <si>
    <t>The Integrated Digital Ecosystem shall employ identified software development techniques that promote effective information security.</t>
  </si>
  <si>
    <t>The Integrated Digital Engineering Ecosystem shall employ an architectural design that promotes effective information security.</t>
  </si>
  <si>
    <t>The Integrated Digital Engineering Ecosystem shall enforce security configuration settings for information technology products employed in the system.</t>
  </si>
  <si>
    <t>The Integrated Digital Engineering Ecosystem shall define essential system capabilities based on the principle of least functionality.</t>
  </si>
  <si>
    <t>The Integrated Digital Engineering Ecosystem shall restrict the use of nonessential programs, functions, ports, protocols, and services.</t>
  </si>
  <si>
    <t>The Integrated Digital Engineering Ecosystem shall identify deficiencies and vulnerabilities to be addressed by a plan of action.</t>
  </si>
  <si>
    <t>The Integrated Digital Engineering Ecosystem shall identify processes acting on behalf of authorized users.</t>
  </si>
  <si>
    <t>The Integrated Digital Engineering Ecosystem shall limit unsuccessful login attempts.</t>
  </si>
  <si>
    <t>The Integrated Digital Engineering Ecosystem shall define a period of inactivity after which an identifier is disabled.</t>
  </si>
  <si>
    <t>The Integrated Digital Engineering Ecosystem shall use multifactor authentication for local and network access to privileged accounts and for network access to non-privileged accounts.</t>
  </si>
  <si>
    <t>The Integrated Digital Engineering Ecosystem shall prevent unauthorized and unintended information transfer via shared system resources.</t>
  </si>
  <si>
    <t>The Integrated Digital Engineering Ecosystem shall specify the number of generations when reuse of passwords is prohibited.</t>
  </si>
  <si>
    <t>The Integrated Digital Engineering Ecosystem shall protect communications at key internal boundaries.</t>
  </si>
  <si>
    <t xml:space="preserve">The Integrated Digital Engineering Ecosystem shall identify privileged accounts. </t>
  </si>
  <si>
    <t>The Integrated Digital Engineering Ecosystem shall identify security functions.</t>
  </si>
  <si>
    <t>The Integrated Digital Engineering Ecosystem shall identify authorized users.</t>
  </si>
  <si>
    <t>The Integrated Digital Engineering Ecosystem shall define logical access restrictions associated with changes to the system.</t>
  </si>
  <si>
    <t>The Integrated Digital Engineering Ecosystem shall identify system management functionality.</t>
  </si>
  <si>
    <t>The Integrated Digital Engineering Ecosystem shall Monitor system security alerts and advisories and take action in response.</t>
  </si>
  <si>
    <t>The Integrated Digital Engineering Ecosystem shall protect the authenticity of communications sessions.</t>
  </si>
  <si>
    <t>The Integrated Digital Engineering Ecosystem shall identify publicly accessible system components.</t>
  </si>
  <si>
    <t>The Integrated Digital Engineering Ecosystem shall perform real-time malicious code scans of files from external sources as files are downloaded, opened, or executed.</t>
  </si>
  <si>
    <t>The Integrated Digital Engineering Ecosystem shall identify architectural designs that promote effective information security.</t>
  </si>
  <si>
    <t>The Integrated Digital Engineering Ecosystem shall assess security controls with the defined frequency to determine if the controls are effective in their application.</t>
  </si>
  <si>
    <t>The Integrated Digital Engineering Ecosystem shall analyze whether changes will impact security prior to implementing the changes.</t>
  </si>
  <si>
    <t>The Integrated Digital Engineering Ecosystem shall assign information security-related issues to designated personnel roles.</t>
  </si>
  <si>
    <t>The Integrated Digital Engineering Ecosystem shall separate user functionality from system management functionality.</t>
  </si>
  <si>
    <t xml:space="preserve">The Integrated Digital Engineering Ecosystem shall Perform maintenance on IDE systems. </t>
  </si>
  <si>
    <t>The Integrated Digital Engineering Ecosystem shall terminate system access and credentials consistent with personnel actions such as termination or transfer according to a predefined process.</t>
  </si>
  <si>
    <t>The Integrated Digital Engineering Ecosystem shall require users to use non-privileged accounts or roles when accessing non security functions.</t>
  </si>
  <si>
    <t>Capability</t>
  </si>
  <si>
    <t>None</t>
  </si>
  <si>
    <t>Level 1 ID</t>
  </si>
  <si>
    <t>Level 2 ID</t>
  </si>
  <si>
    <t>Level 3 ID</t>
  </si>
  <si>
    <t>Component</t>
  </si>
  <si>
    <t>L3 Requirement Type</t>
  </si>
  <si>
    <t>Level 3 Requirement name</t>
  </si>
  <si>
    <t>Level 3 Requirement text</t>
  </si>
  <si>
    <t>Verification Method</t>
  </si>
  <si>
    <t>IDE Conops Section References</t>
  </si>
  <si>
    <t>Source</t>
  </si>
  <si>
    <t>Action taken</t>
  </si>
  <si>
    <t>F</t>
  </si>
  <si>
    <t>Planning &amp; Collaboration</t>
  </si>
  <si>
    <t>P&amp;C Wiki Capability</t>
  </si>
  <si>
    <t>The IDE shall provide a capability for enterprise wiki collaboration.</t>
  </si>
  <si>
    <t>Demonstrate</t>
  </si>
  <si>
    <t>4.3 ConOps</t>
  </si>
  <si>
    <t>Updated</t>
  </si>
  <si>
    <t>1.1.1-F2</t>
  </si>
  <si>
    <t>P&amp;C SSO Integration (AuthN)</t>
  </si>
  <si>
    <t>The IDE shall integrate the Planning and Collaboration capabilities with the Mandated Shared Service for Centralized Authentication (SSO).</t>
  </si>
  <si>
    <t>Test</t>
  </si>
  <si>
    <t>1.1.1-F3</t>
  </si>
  <si>
    <t>P&amp;C Logging Integration</t>
  </si>
  <si>
    <t>The IDE shall integrate the Planning and Collaboration capabilities with the Mandated Shared Service for Centralized Logging.</t>
  </si>
  <si>
    <t>P&amp;C Work Management Capability</t>
  </si>
  <si>
    <t>The IDE shall provide a capability for work and backlog management.</t>
  </si>
  <si>
    <t>Added</t>
  </si>
  <si>
    <t>1.1.1-F5</t>
  </si>
  <si>
    <t>P&amp;C Instant Messaging Capability</t>
  </si>
  <si>
    <t>The IDE shall provide a capability for instant messaging.</t>
  </si>
  <si>
    <t>1.1.1-F6</t>
  </si>
  <si>
    <t>P&amp;C Digital Whiteboard Capability</t>
  </si>
  <si>
    <t>The IDE shall provide a capability for digital whiteboard collaboration.</t>
  </si>
  <si>
    <t>1.1.1-F7</t>
  </si>
  <si>
    <t>P&amp;C SSO Integration (AuthZ)</t>
  </si>
  <si>
    <t>The IDE shall integrate the Planning and Collaboration capabilities with the Mandated Shared Service for Centralized Authorization (RBAC).</t>
  </si>
  <si>
    <t>1.1.1-F8</t>
  </si>
  <si>
    <t>P&amp;C Monitoring Integration</t>
  </si>
  <si>
    <t>The IDE shall integrate the Planning and Collaboration capabilities with the Mandated Shared Service for Centralized Monitoring.</t>
  </si>
  <si>
    <t>Systems Engineering</t>
  </si>
  <si>
    <t>SE Requirements Management Capability</t>
  </si>
  <si>
    <t>The IDE shall provide a capability for Requirements Management.</t>
  </si>
  <si>
    <t>1.1.2-F2</t>
  </si>
  <si>
    <t>SE SSO Integration (AuthN)</t>
  </si>
  <si>
    <t>The IDE shall integrate the System Engineering capabilities with the Mandated Shared Service for Centralized Authentication (SSO).</t>
  </si>
  <si>
    <t>1.1.2-F3</t>
  </si>
  <si>
    <t>SE Logging Integration</t>
  </si>
  <si>
    <t>The IDE shall integrate the System Engineering capabilities with the Mandated Shared Service for Centralized Logging.</t>
  </si>
  <si>
    <t>1.1.2-F4</t>
  </si>
  <si>
    <t>SE Heavy Client Remote Access</t>
  </si>
  <si>
    <t>The IDE shall provide the 'Remote Application Access Service' for all System Engineering 'heavy client' applications.</t>
  </si>
  <si>
    <t>Sec 2.1.2, 2.2, 5.3.1</t>
  </si>
  <si>
    <t>1.1.2-F5</t>
  </si>
  <si>
    <t>SE MBSE Capability</t>
  </si>
  <si>
    <t>The IDE shall provide a capability for Model-Based Systems Engineering (MBSE).</t>
  </si>
  <si>
    <t>1.1.2-F6</t>
  </si>
  <si>
    <t>SE Mission Simulation Capability</t>
  </si>
  <si>
    <t>The IDE shall provide a capability for Mission Simulation.</t>
  </si>
  <si>
    <t>1.1.2-F7</t>
  </si>
  <si>
    <t>SE Mission Analysis Capability</t>
  </si>
  <si>
    <t>The IDE shall provide a capability for Mission Analysis.</t>
  </si>
  <si>
    <t>1.1.2-F8</t>
  </si>
  <si>
    <t>SE SSO Integration (AuthZ)</t>
  </si>
  <si>
    <t>The IDE shall integrate the System Engineering capabilities with the Mandated Shared Service for Centralized Authorization (RBAC).</t>
  </si>
  <si>
    <t>1.1.2-F9</t>
  </si>
  <si>
    <t>SE Monitoring Integration</t>
  </si>
  <si>
    <t>The IDE shall integrate the System Engineering capabilities with the Mandated Shared Service for Centralized Monitoring.</t>
  </si>
  <si>
    <t>Software Factory</t>
  </si>
  <si>
    <t>SWF Version Control Capability</t>
  </si>
  <si>
    <t>The IDE shall provide a DoD DevSecOps compliant capability for software version control.</t>
  </si>
  <si>
    <t>1.1.3-F2</t>
  </si>
  <si>
    <t>SWF SSO Integration (AuthN)</t>
  </si>
  <si>
    <t>The IDE shall integrate the Software Factory capabilities with the Mandated Shared Service for Centralized Authentication (SSO).</t>
  </si>
  <si>
    <t>1.1.3-F3</t>
  </si>
  <si>
    <t>SWF Logging Integration</t>
  </si>
  <si>
    <t>The IDE shall integrate the Software Factory capabilities with the Mandated Shared Service for Centralized Logging.</t>
  </si>
  <si>
    <t>1.1.3-F11</t>
  </si>
  <si>
    <t>SWF Integrated Development Environment</t>
  </si>
  <si>
    <t>The IDE shall provide an integrated development environment for software development.</t>
  </si>
  <si>
    <t>1.1.3-F4</t>
  </si>
  <si>
    <t>SWF IDE Remote Access</t>
  </si>
  <si>
    <t>The IDE shall provide the 'Remote Application Access Service' for 'heavy client' Integrated Development Environments.</t>
  </si>
  <si>
    <t>SWF Artifact Control Capability</t>
  </si>
  <si>
    <t>The IDE shall provide a DoD DevSecOps compliant capability for artifact binary control.</t>
  </si>
  <si>
    <t>SWF CI/CD Capability</t>
  </si>
  <si>
    <t>The IDE shall provide a DoD DevSecOps compliant capability for Continuous Integration and Continuous Deployment (CI/CD).</t>
  </si>
  <si>
    <t>SWF SAST Capability</t>
  </si>
  <si>
    <t>The IDE shall provide a DoD DevSecOps compliant capability for Code Quality and Static Analysis (SAST).</t>
  </si>
  <si>
    <t>SWF DAST Capability</t>
  </si>
  <si>
    <t>The IDE shall provide a DoD DevSecOps compliant capability for Cyber Security Compliance (DAST) and container scanning.</t>
  </si>
  <si>
    <t>SWF SSO Integration (AuthZ)</t>
  </si>
  <si>
    <t>The IDE shall integrate the Software Factory capabilities with the Mandated Shared Service for Centralized Authorization (RBAC).</t>
  </si>
  <si>
    <t>1.1.3-F10</t>
  </si>
  <si>
    <t>SWF Monitoring Integration</t>
  </si>
  <si>
    <t>The IDE shall integrate the Software Factory capabilities with the Mandated Shared Service for Centralized Monitoring.</t>
  </si>
  <si>
    <t>1.1.4-F1</t>
  </si>
  <si>
    <t>Electrical Engineering</t>
  </si>
  <si>
    <t>EE Capability Provisioning</t>
  </si>
  <si>
    <t>The IDE shall provide an Electrical Engineering Design capability.</t>
  </si>
  <si>
    <t>ConOps</t>
  </si>
  <si>
    <t>1.1.4-F2</t>
  </si>
  <si>
    <t>EE SSO Integration (AuthN)</t>
  </si>
  <si>
    <t>The IDE shall integrate the Electrical Engineering capability with the Mandated Shared Service for Centralized Authentication (SSO).</t>
  </si>
  <si>
    <t>1.1.4-F3</t>
  </si>
  <si>
    <t>EE Heavy Client Remote Access</t>
  </si>
  <si>
    <t>The IDE shall provide the 'Remote Application Access Service' for all Electrical Engineering 'heavy client' applications.</t>
  </si>
  <si>
    <t>1.1.4-F4</t>
  </si>
  <si>
    <t>EE SSO Integration (AuthZ)</t>
  </si>
  <si>
    <t>The IDE shall integrate the Electrical Engineering capability with the Mandated Shared Service for Centralized Authorization (RBAC).</t>
  </si>
  <si>
    <t>1.1.5-F1</t>
  </si>
  <si>
    <t>Mechanical Engineering</t>
  </si>
  <si>
    <t>ME Capability Provisioning</t>
  </si>
  <si>
    <t>The IDE shall provide a Mechanical Engineering Design capability.</t>
  </si>
  <si>
    <t>1.1.5-F2</t>
  </si>
  <si>
    <t>ME SSO Integration (AuthN)</t>
  </si>
  <si>
    <t>The IDE shall integrate the Mechanical Engineering capability with the Mandated Shared Service for Centralized Authentication (SSO).</t>
  </si>
  <si>
    <t>1.1.5-F3</t>
  </si>
  <si>
    <t>ME Heavy Client Remote Access</t>
  </si>
  <si>
    <t>The IDE shall provide the 'Remote Application Access Service' for all Mechanical Engineering 'heavy client' applications.</t>
  </si>
  <si>
    <t>1.1.5-F4</t>
  </si>
  <si>
    <t>ME SSO Integration (AuthZ)</t>
  </si>
  <si>
    <t>The IDE shall integrate the Mechanical Engineering capability with the Mandated Shared Service for Centralized Authorization (RBAC).</t>
  </si>
  <si>
    <t>Product Quality</t>
  </si>
  <si>
    <t>User Feedback Collection</t>
  </si>
  <si>
    <t>The IDE shall provide a capability to collect, summarize, and review user feedback regarding product configurations and performance.</t>
  </si>
  <si>
    <t>Model</t>
  </si>
  <si>
    <t>Add - New from Modeled</t>
  </si>
  <si>
    <t>ConOps GAP</t>
  </si>
  <si>
    <t>Digital Thread</t>
  </si>
  <si>
    <t>Digital Thread Data Standardization</t>
  </si>
  <si>
    <t>The IDE shall provide a solution to standardize data element definitions from disparate Authoritative Sources of Truth (ASoTs) into a unified data model.</t>
  </si>
  <si>
    <t>2.1.1-F2</t>
  </si>
  <si>
    <t>AI</t>
  </si>
  <si>
    <t>Digital Thread Graph ETL</t>
  </si>
  <si>
    <t>The IDE shall provide an automated ETL process to persist data element relationships from multiple disparate ASoTs into the 'GraphRAG (Graph) Database'.</t>
  </si>
  <si>
    <t>Sec 2.2, 2.3.1</t>
  </si>
  <si>
    <t>Digital Thread Relationship Query</t>
  </si>
  <si>
    <t>The IDE shall provide a capability (via the Insights Agent) to query the Digital Thread knowledge graph for complex, multi-domain relationships.</t>
  </si>
  <si>
    <t>SP</t>
  </si>
  <si>
    <t>Platform Monitoring &amp; Admin</t>
  </si>
  <si>
    <t>Consolidated Pipeline (Platform Logs)</t>
  </si>
  <si>
    <t>The IDE shall provide a 'Centralized Logging and Monitoring' service as a consolidated pipeline for all platform logs.</t>
  </si>
  <si>
    <t>Health Dashboard (Health &amp; KPI)</t>
  </si>
  <si>
    <t>The IDE shall provide a 'Centralized Health Dashboard' to display real-time health status, performance metrics, and Key Performance Indicators (KPIs) of all platform components.</t>
  </si>
  <si>
    <t>ConOps+Model</t>
  </si>
  <si>
    <t>Security Dashboard (Compliance)</t>
  </si>
  <si>
    <t>The IDE shall provide a 'Local Security Dashboard' to allow the Local Program Cyber Engineer to review compliance status.</t>
  </si>
  <si>
    <t>2.1.2-F4</t>
  </si>
  <si>
    <t>L3 Log Bundler (Collect Platform Logs)</t>
  </si>
  <si>
    <t>The IDE shall provide a 'Log Bundler Script' that collects platform logs required for L3 support escalation.</t>
  </si>
  <si>
    <t>Sec 3.3.3, 5.2.1</t>
  </si>
  <si>
    <t>Consolidated Admin Interface</t>
  </si>
  <si>
    <t>The IDE shall provide a 'Consolidated Admin Interface' as a secure, web-based UI to provide a single pane of glass for L1/L2 administrative tasks.</t>
  </si>
  <si>
    <t>Admin Interface User Management</t>
  </si>
  <si>
    <t>The 'Consolidated Admin Interface' shall provide a module for managing user accounts.</t>
  </si>
  <si>
    <t>Admin Interface for Secrets</t>
  </si>
  <si>
    <t>The 'Consolidated Admin Interface' shall provide an administrative GUI for the 'Centralized Secrets Management' service.</t>
  </si>
  <si>
    <t>Consolidated Pipeline (App Logs)</t>
  </si>
  <si>
    <t>The IDE shall provide a 'Centralized Logging and Monitoring' service as a consolidated pipeline for all application logs.</t>
  </si>
  <si>
    <t>Consolidated Pipeline (Health Metrics)</t>
  </si>
  <si>
    <t>The IDE shall provide a 'Centralized Logging and Monitoring' service as a consolidated pipeline for all health metrics.</t>
  </si>
  <si>
    <t>Consolidated Pipeline (Perf Metrics)</t>
  </si>
  <si>
    <t>The IDE shall provide a 'Centralized Logging and Monitoring' service as a consolidated pipeline for all performance metrics.</t>
  </si>
  <si>
    <t>Consolidated Pipeline (Audit Events)</t>
  </si>
  <si>
    <t>The IDE shall provide a 'Centralized Logging and Monitoring' service as a consolidated pipeline for all security audit events.</t>
  </si>
  <si>
    <t>Health Dashboard (Performance)</t>
  </si>
  <si>
    <t>The IDE shall provide a 'Centralized Health Dashboard' to display real-time performance status of all platform components.</t>
  </si>
  <si>
    <t>2.1.2-F13</t>
  </si>
  <si>
    <t>Health Dashboard (Compliance)</t>
  </si>
  <si>
    <t>The IDE shall provide a 'Centralized Health Dashboard' to display real-time compliance status of all platform components.</t>
  </si>
  <si>
    <t>Security Dashboard (Logs)</t>
  </si>
  <si>
    <t>The IDE shall provide a 'Local Security Dashboard' to allow the Local Program Cyber Engineer to review security audit logs.</t>
  </si>
  <si>
    <t>2.1.2-F15</t>
  </si>
  <si>
    <t>L3 Log Bundler (Collect App Logs)</t>
  </si>
  <si>
    <t>The IDE shall provide a 'Log Bundler Script' that collects application logs required for L3 support escalation.</t>
  </si>
  <si>
    <t>2.1.2-F16</t>
  </si>
  <si>
    <t>L3 Log Bundler (Scrub)</t>
  </si>
  <si>
    <t>The 'Log Bundler Script' shall scrub sensitive data from the collected logs.</t>
  </si>
  <si>
    <t>2.1.2-F17</t>
  </si>
  <si>
    <t>L3 Log Bundler (Package)</t>
  </si>
  <si>
    <t>The 'Log Bundler Script' shall package the collected logs for L3 support escalation.</t>
  </si>
  <si>
    <t>Admin Interface User Roles</t>
  </si>
  <si>
    <t>The 'Consolidated Admin Interface' shall provide a module for managing user roles.</t>
  </si>
  <si>
    <t>Admin Interface User Permissions</t>
  </si>
  <si>
    <t>The 'Consolidated Admin Interface' shall provide a module for managing platform-level access permissions.</t>
  </si>
  <si>
    <t>Data Reporting</t>
  </si>
  <si>
    <t>Configurable Dashboard Templates</t>
  </si>
  <si>
    <t>The IDE shall provide a capability for users to create and configure custom dashboard templates to accommodate various user needs and metrics.</t>
  </si>
  <si>
    <t>Dashboard Documentation</t>
  </si>
  <si>
    <t>The IDE shall provide documentation and resources to assist users in configuring and interpreting dashboards.</t>
  </si>
  <si>
    <t>Inspection</t>
  </si>
  <si>
    <t>Dashboard Interactive Analysis</t>
  </si>
  <si>
    <t>The IDE shall enable dashboard user interaction (e.g., drill-down, filtering) to perform detailed analysis.</t>
  </si>
  <si>
    <t>2.1.3-F1</t>
  </si>
  <si>
    <t>AI Context</t>
  </si>
  <si>
    <t>RAG Data Ingestion</t>
  </si>
  <si>
    <t>The IDE shall provide a 'Vector Database' capability to ingest unstructured 'Customer Data' to provide context for AI Agents.</t>
  </si>
  <si>
    <t>Sec 2.3.1</t>
  </si>
  <si>
    <t>2.1.3-F2</t>
  </si>
  <si>
    <t>AI Session History Cache</t>
  </si>
  <si>
    <t>The IDE shall provide a 'Session Memory / History' cache for each user and agent to maintain conversational context during an interaction.</t>
  </si>
  <si>
    <t>2.1.3-F3</t>
  </si>
  <si>
    <t>RAG Data Indexing</t>
  </si>
  <si>
    <t>The IDE shall provide a 'Vector Database' capability to index ingested unstructured 'Customer Data' to provide context for AI Agents.</t>
  </si>
  <si>
    <t>2.2.1-F1</t>
  </si>
  <si>
    <t>AI Agents &amp; Governance</t>
  </si>
  <si>
    <t>Generative AI Chatbot</t>
  </si>
  <si>
    <t>The IDE shall provide a 'Chatbot' capability to provide a general-purpose generative AI and Natural Language Processing (NLP) interface for end-users.</t>
  </si>
  <si>
    <t>2.2.1-F2</t>
  </si>
  <si>
    <t>Agentic Loop (Plan)</t>
  </si>
  <si>
    <t>The IDE shall provide an 'Agentic Loop (Cognitive Engine)' that enables AI agents to decompose user goals into multi-step plans.</t>
  </si>
  <si>
    <t>Sec 2.3.1, 5.3.2</t>
  </si>
  <si>
    <t>2.2.1-F3</t>
  </si>
  <si>
    <t>Developer Agent (Code Gen)</t>
  </si>
  <si>
    <t>The IDE shall provide a 'Developer Agent' persona integrated with the Software Factory (SWF) to assist with code generation.</t>
  </si>
  <si>
    <t>2.2.1-F4</t>
  </si>
  <si>
    <t>Insights Agent Persona</t>
  </si>
  <si>
    <t>The IDE shall provide an 'Insights Agent' persona to perform complex, cross-domain queries of the Digital Thread (GraphRAG) and generate status reports.</t>
  </si>
  <si>
    <t>AIOps Agent (RCA)</t>
  </si>
  <si>
    <t>The IDE shall provide an 'IT Infrastructure Agent (AIOps)' persona integrated with the Centralized Logging service to perform autonomous root cause analysis.</t>
  </si>
  <si>
    <t>2.2.1-F6</t>
  </si>
  <si>
    <t>AI Agent Tool Catalog</t>
  </si>
  <si>
    <t>The IDE shall provide a customer-configurable 'AI Tool Catalog' that defines the specific actions an AI agent is permitted to execute.</t>
  </si>
  <si>
    <t>2.2.1-F7</t>
  </si>
  <si>
    <t>Local LLM Catalog Support</t>
  </si>
  <si>
    <t>The IDE shall provide a 'Local LLM Catalog' capability to enable AI agent operation in air-gapped environments using self-hosted, containerized Large Language Models.</t>
  </si>
  <si>
    <t>Sec 2.3.2</t>
  </si>
  <si>
    <t>2.2.1-N1</t>
  </si>
  <si>
    <t>NF</t>
  </si>
  <si>
    <t>AI Gateway Policy Enforcement</t>
  </si>
  <si>
    <t>The IDE shall provide an 'AI Gateway' that functions as a mandatory, non-bypassable Policy Enforcement Point (PEP) for all AI-related traffic.</t>
  </si>
  <si>
    <t>Sec 2.3.2, 4.4.1</t>
  </si>
  <si>
    <t>2.2.1-N2</t>
  </si>
  <si>
    <t>AI Gateway Auditing (Prompts)</t>
  </si>
  <si>
    <t>The 'AI Gateway' shall create a non-repudiable audit log of all AI agent prompts for security and compliance review.</t>
  </si>
  <si>
    <t>Analysis</t>
  </si>
  <si>
    <t>AI Agent Zero-Trust Identity</t>
  </si>
  <si>
    <t>The IDE shall assign each AI agent a distinct, non-human identity (service account) with a unique, role-based access control (RBAC) profile.</t>
  </si>
  <si>
    <t>2.2.1-N4</t>
  </si>
  <si>
    <t>AI Agent No Standing Privileges</t>
  </si>
  <si>
    <t>The IDE shall ensure no AI agent identity has standing privileged access to the platform or its tool APIs.</t>
  </si>
  <si>
    <t>2.2.1-F8</t>
  </si>
  <si>
    <t>AI Agent JIT Access</t>
  </si>
  <si>
    <t>The IDE shall provide a Just-in-Time (JIT) 'Lockbox' workflow that, upon Local Admin approval, grants an AI agent temporary, time-bound credentials to execute a specific, pre-approved plan.</t>
  </si>
  <si>
    <t>Sec 3.2.1, 5.3.4</t>
  </si>
  <si>
    <t>2.2.1-N5</t>
  </si>
  <si>
    <t>Agent-Generated Code as Untrusted</t>
  </si>
  <si>
    <t>The IDE shall treat all agent-generated code as 'untrusted' Customer Data.</t>
  </si>
  <si>
    <t>Sec 4.4.2</t>
  </si>
  <si>
    <t>2.2.1-N6</t>
  </si>
  <si>
    <t>Agent-Generated Code Compliance Scan</t>
  </si>
  <si>
    <t>The IDE shall ensure agent-generated code cannot be merged to a protected branch until it has passed all required DevSecOps pipeline security scans.</t>
  </si>
  <si>
    <t>2.2.1-F9</t>
  </si>
  <si>
    <t>Agentic Loop (Evaluate Safety)</t>
  </si>
  <si>
    <t>The 'Agentic Loop (Cognitive Engine)' shall evaluate multi-step plans for safety.</t>
  </si>
  <si>
    <t>2.2.1-F10</t>
  </si>
  <si>
    <t>Agentic Loop (Evaluate Correctness)</t>
  </si>
  <si>
    <t>The 'Agentic Loop (Cognitive Engine)' shall evaluate multi-step plans for correctness.</t>
  </si>
  <si>
    <t>2.2.1-F11</t>
  </si>
  <si>
    <t>Agentic Loop (Execute)</t>
  </si>
  <si>
    <t>The 'Agentic Loop (Cognitive Engine)' shall execute approved multi-step plans.</t>
  </si>
  <si>
    <t>2.2.1-F12</t>
  </si>
  <si>
    <t>Developer Agent (Debug)</t>
  </si>
  <si>
    <t>The 'Developer Agent' persona shall assist with natural-language-based debugging.</t>
  </si>
  <si>
    <t>2.2.1-F13</t>
  </si>
  <si>
    <t>Developer Agent (Test Gen)</t>
  </si>
  <si>
    <t>The 'Developer Agent' persona shall assist with automated unit test script generation.</t>
  </si>
  <si>
    <t>2.2.1-F14</t>
  </si>
  <si>
    <t>AIOps Agent (Remediation)</t>
  </si>
  <si>
    <t>The 'IT Infrastructure Agent (AIOps)' persona shall generate planned remediation steps.</t>
  </si>
  <si>
    <t>2.2.1-F15</t>
  </si>
  <si>
    <t>AI Gateway Auditing (Plans)</t>
  </si>
  <si>
    <t>The 'AI Gateway' shall create a non-repudiable audit log of all AI agent plans for security and compliance review.</t>
  </si>
  <si>
    <t>2.2.1-F16</t>
  </si>
  <si>
    <t>AI Gateway Auditing (Responses)</t>
  </si>
  <si>
    <t>The 'AI Gateway' shall create a non-repudiable audit log of all AI agent responses for security and compliance review.</t>
  </si>
  <si>
    <t>Secure Platform Services</t>
  </si>
  <si>
    <t>K8s Orchestration Platform</t>
  </si>
  <si>
    <t>The IDE shall provide a Kubernetes (K8s) orchestrator as the foundational platform for all containerized services and applications.</t>
  </si>
  <si>
    <t>Environment Agnostic</t>
  </si>
  <si>
    <t>The IDE platform shall be environment-agnostic, supporting deployment in on-premises, private cloud, public cloud, and fully air-gapped networks.</t>
  </si>
  <si>
    <t>3.1.1-N2</t>
  </si>
  <si>
    <t>On-Premises K8s Support</t>
  </si>
  <si>
    <t>The IDE platform shall support automated deployment on a specified K8s distribution (e.g., Linux OpenShift) for both bare metal and hypervisor-based on-premises environments.</t>
  </si>
  <si>
    <t>3.1.1-N3</t>
  </si>
  <si>
    <t>Cloud K8s Support</t>
  </si>
  <si>
    <t>The IDE platform shall support automated deployment on specified managed Kubernetes services (e.g., EKS, OpenShift) on cloud environments.</t>
  </si>
  <si>
    <t>Greenfield K8s Provisioning</t>
  </si>
  <si>
    <t>The IDE installation process shall provision a new, dedicated K8s cluster and shall not deploy into a pre-existing, non-IDE K8s cluster.</t>
  </si>
  <si>
    <t>SSO Identity Broker</t>
  </si>
  <si>
    <t>The IDE shall provide a mandated shared service for Centralized Authentication and Authorization (SSO) that functions as an identity broker, connecting to a customer-provided Identity Provider (IdP).</t>
  </si>
  <si>
    <t>In-Cluster VM Management</t>
  </si>
  <si>
    <t>The IDE shall provide a mandated shared service for 'In-Cluster VM Management' to orchestrate non-containerized workloads as virtual machines within the cluster.</t>
  </si>
  <si>
    <t>3.1.1-F4</t>
  </si>
  <si>
    <t>Remote Application Streaming</t>
  </si>
  <si>
    <t>The IDE shall provide a mandated shared service for 'Remote Application Access' to provide on-demand, streaming access to 'heavy client' applications via an end-user's web browser.</t>
  </si>
  <si>
    <t>Sec 2.1.2, 5.3.1</t>
  </si>
  <si>
    <t>Service Mesh (Discovery)</t>
  </si>
  <si>
    <t>The IDE shall provide a mandated shared 'Service Mesh' that provides service discovery.</t>
  </si>
  <si>
    <t>Automated Backup Service</t>
  </si>
  <si>
    <t>The IDE shall provide a mandated shared service for 'Backup and Recovery' that performs automated, policy-based backups of the platform state and customer data.</t>
  </si>
  <si>
    <t>Disaster Recovery Restore Capability</t>
  </si>
  <si>
    <t>The IDE shall provide a 'full IDE System Restore' capability to restore the platform from an automated backup, as defined in Scenario 5.4.3.</t>
  </si>
  <si>
    <t>Customer Application Deployment</t>
  </si>
  <si>
    <t>The IDE Secure Platform shall provide a capability for customers to deploy their own containerized applications ('Customer-Integrated Applications') alongside the IDE Capability Layer.</t>
  </si>
  <si>
    <t>Customer Application Integration</t>
  </si>
  <si>
    <t>The IDE Secure Platform shall enable 'Customer-Integrated Applications' to leverage Mandated Shared Services via adherence to the published IDE Interface Control Document (ICD).</t>
  </si>
  <si>
    <t>ICD Publication</t>
  </si>
  <si>
    <t>The IDE shall include a formal, version-controlled Interface Control Document (ICD) as a core product deliverable that defines the technical and security 'contract' for integrating customer applications.</t>
  </si>
  <si>
    <t>Secrets Service (Storage)</t>
  </si>
  <si>
    <t>The IDE shall provide a mandated shared service for 'Centralized Secrets Management' to support the secure storage of platform and application credentials.</t>
  </si>
  <si>
    <t>Secrets Service Auditing</t>
  </si>
  <si>
    <t>The IDE shall integrate all 'Centralized Secrets Management' access and management actions with the 'Centralized Logging' service to ensure all actions are auditable.</t>
  </si>
  <si>
    <t>ICD Secrets Management API</t>
  </si>
  <si>
    <t>The IDE Interface Control Document (ICD) shall define the programmatic API for the 'Centralized Secrets Management' service to enable 'Customer-Integrated Applications' to securely access credentials.</t>
  </si>
  <si>
    <t>Service Mesh (Traffic Mgt)</t>
  </si>
  <si>
    <t>The mandated shared 'Service Mesh' shall provide policy-driven traffic management.</t>
  </si>
  <si>
    <t>Service Mesh (mTLS)</t>
  </si>
  <si>
    <t>The mandated shared 'Service Mesh' shall enforce zero-trust security via mutually authenticated mTLS for all service-to-service communication.</t>
  </si>
  <si>
    <t>Secrets Service (Distribution)</t>
  </si>
  <si>
    <t>The mandated shared service for 'Centralized Secrets Management' shall support the secure distribution of platform and application credentials.</t>
  </si>
  <si>
    <t>Secrets Service (Rotation)</t>
  </si>
  <si>
    <t>The mandated shared service for 'Centralized Secrets Management' shall support the secure rotation of platform and application credentials.</t>
  </si>
  <si>
    <t>NIST 800-53 Hardening</t>
  </si>
  <si>
    <t>The IDE 'Secure Platform' and 'IDE Capability Layer' components shall be hardened to comply with NIST SP 800-53 (Rev 5).</t>
  </si>
  <si>
    <t>cATO Maintenance</t>
  </si>
  <si>
    <t>The IDE baseline shall be maintained under a formal Continuous Authorization to Operate (cATO) process, enabled by a provider-side DevSecOps pipeline and customer-side Continuous Monitoring (CONMON).</t>
  </si>
  <si>
    <t>ATO Inheritance Package (BoE)</t>
  </si>
  <si>
    <t>The IDE shall provide a 'Cyber compliance evidence' package (Body of Evidence) to support customer ATO inheritance.</t>
  </si>
  <si>
    <t>Opinionated Stack Mandate</t>
  </si>
  <si>
    <t>The IDE shall be delivered as a complete, 'opinionated stack'; deployment of the 'IDE Capability Layer' on a non-IDE platform shall not be supported.</t>
  </si>
  <si>
    <t>Unsupported Modification State</t>
  </si>
  <si>
    <t>The IDE shall provide tools (e.g., Health Dashboard) to detect and report when an IDE Instance has been modified outside of 'IDE provided admin tools', which moves the instance to an 'unsupported' state.</t>
  </si>
  <si>
    <t>Secrets Service FIPS Compliance</t>
  </si>
  <si>
    <t>The 'Centralized Secrets Management' service shall encrypt secrets at rest and in transit using FIPS-approved algorithms.</t>
  </si>
  <si>
    <t>3.1.1-N11</t>
  </si>
  <si>
    <t>ATO Inheritance Package (SBOM)</t>
  </si>
  <si>
    <t>The 'Cyber compliance evidence' package shall include a system Software Bill of Materials (SBOM).</t>
  </si>
  <si>
    <t>ATO Inheritance Package (Scans)</t>
  </si>
  <si>
    <t>The 'Cyber compliance evidence' package shall include security scan results (SAST, DAST, container scans).</t>
  </si>
  <si>
    <t>ATO Inheritance Package (SSP)</t>
  </si>
  <si>
    <t>The 'Cyber compliance evidence' package shall include the baseline System Security Plan (SSP) and control mappings.</t>
  </si>
  <si>
    <t>NIST 800-53 Configuration</t>
  </si>
  <si>
    <t>The IDE 'Secure Platform' and 'IDE Capability Layer' components shall be configured to comply with NIST SP 800-53 (Rev 5).</t>
  </si>
  <si>
    <t>NIST 800-171 Hardening</t>
  </si>
  <si>
    <t>The IDE 'Secure Platform' and 'IDE Capability Layer' components shall be hardened to comply with NIST SP 800-171 controls.</t>
  </si>
  <si>
    <t>NIST 800-171 Configuration</t>
  </si>
  <si>
    <t>The IDE 'Secure Platform' and 'IDE Capability Layer' components shall be configured to comply with NIST SP 800-171 controls.</t>
  </si>
  <si>
    <t>P</t>
  </si>
  <si>
    <t>Day 0 Provisioning Time</t>
  </si>
  <si>
    <t>The IDE shall complete the 'Day 0 Provisioning' scenario (Scenario 5.1.1), from execution of the bootstrap command to operational readiness, in less than four (4) hours.</t>
  </si>
  <si>
    <t>Patch Deployment Time</t>
  </si>
  <si>
    <t>The IDE shall complete the 'Platform Patching and Upgrades' scenario (Scenario 5.2.2), from execution of the upgrade command to operational readiness, in under one (1) hour.</t>
  </si>
  <si>
    <t>Platform Availability</t>
  </si>
  <si>
    <t>The IDE 'Secure Platform' and its 'Mandated Shared Services' shall provide &gt;= 99.99% availability.</t>
  </si>
  <si>
    <t>ConOps+SP</t>
  </si>
  <si>
    <t>Data Recovery Point (RPO)</t>
  </si>
  <si>
    <t>The 'Backup and Recovery' service shall provide an automated backup policy targeting a Recovery Point Objective (RPO) of &lt;= 24 hours for all 'Customer Data' in platform-managed persistent volumes.</t>
  </si>
  <si>
    <t>3.1.1-P5</t>
  </si>
  <si>
    <t>System Recovery Time (RTO)</t>
  </si>
  <si>
    <t>The IDE shall provide a 'full IDE System Restore' capability (Scenario 5.4.3) that meets a Recovery Time Objective (RTO) of &lt;= 4 hours, contingent on customer-provisioned infrastructure.</t>
  </si>
  <si>
    <t>Sec 4.5, 5.4.3</t>
  </si>
  <si>
    <t>Factory</t>
  </si>
  <si>
    <t>IDE Factory</t>
  </si>
  <si>
    <t>Critical CVE Patch Release</t>
  </si>
  <si>
    <t>The IDE (via the IDE Factory) shall produce and publish a validated 'upgrade package' in response to a critical CVE within 48 hours of public disclosure.</t>
  </si>
  <si>
    <t>IDE Decommissioning Script</t>
  </si>
  <si>
    <t>The IDE shall provide a 'destroy IDE script' to securely remove an IDE instance and all associated resources.</t>
  </si>
  <si>
    <t>Decommissioning Auditing</t>
  </si>
  <si>
    <t>The IDE 'destroy IDE script' shall generate a 'Data Destruction Certificate' (audit log) of all destruction activities and component erasure status.</t>
  </si>
  <si>
    <t>Decommissioning Guidance</t>
  </si>
  <si>
    <t>The IDE shall include documented guidance for the 'destroy IDE script' as part of the core product deliverable.</t>
  </si>
  <si>
    <t>IDE Decommissioning Erasure</t>
  </si>
  <si>
    <t>The 'destroy IDE script' shall perform cryptographic erasure of all associated persistent volumes.</t>
  </si>
  <si>
    <t>Structured Data Storage</t>
  </si>
  <si>
    <t>The IDE Secure Platform shall provide a mandated shared service for structured data storage (e.g., SQL-compatible).</t>
  </si>
  <si>
    <t>Unstructured Data Storage</t>
  </si>
  <si>
    <t>The IDE Secure Platform shall provide a mandated shared service for unstructured data storage (e.g., object storage).</t>
  </si>
  <si>
    <t>U</t>
  </si>
  <si>
    <t>Factory Configuration Portal</t>
  </si>
  <si>
    <t>The IDE Factory shall provide a web-based 'Configuration Portal' for customers to configure and procure new IDE Instances and updates.</t>
  </si>
  <si>
    <t>U.U.1-F2</t>
  </si>
  <si>
    <t>Portal K8s Selection</t>
  </si>
  <si>
    <t>The 'Configuration Portal' shall allow a customer to select their target K8s variant.</t>
  </si>
  <si>
    <t>Sec 2.4, 5.1.1</t>
  </si>
  <si>
    <t>U.U.1-F3</t>
  </si>
  <si>
    <t>Portal Resource Estimation</t>
  </si>
  <si>
    <t>The 'Configuration Portal' shall provide recommended compute and storage requirements based on the customer's selected capabilities, including GPU enablement for AI.</t>
  </si>
  <si>
    <t>U.U.1-F4</t>
  </si>
  <si>
    <t>Factory Package Builder</t>
  </si>
  <si>
    <t>The IDE Factory shall provide a 'Package Builder' service that generates a 'site deployment package' based on a validated customer configuration.</t>
  </si>
  <si>
    <t>U.U.1-F5</t>
  </si>
  <si>
    <t>Factory Compliance Generation</t>
  </si>
  <si>
    <t>The IDE Factory shall automatically generate a 'Cyber compliance evidence' package for each 'site deployment package'.</t>
  </si>
  <si>
    <t>Sec 2.4, 4.3.1</t>
  </si>
  <si>
    <t>U.U.1-F6</t>
  </si>
  <si>
    <t>Factory Configuration Database</t>
  </si>
  <si>
    <t>The IDE Factory shall maintain a 'Configuration Database' as the authoritative source for all package configurations, metadata, and SBOMs.</t>
  </si>
  <si>
    <t>U.U.1-F7</t>
  </si>
  <si>
    <t>Factory Repo (Package)</t>
  </si>
  <si>
    <t>The IDE Factory shall publish the final, signed 'site deployment package' to an 'Enterprise Repository' for customer download.</t>
  </si>
  <si>
    <t>U.U.1-F8</t>
  </si>
  <si>
    <t>Portal Add IDE Capability</t>
  </si>
  <si>
    <t>The 'Configuration Portal' shall allow a customer to add 'IDE Capabilities' to their deployment package.</t>
  </si>
  <si>
    <t>U.U.1-F9</t>
  </si>
  <si>
    <t>Portal Remove IDE Capability</t>
  </si>
  <si>
    <t>The 'Configuration Portal' shall allow a customer to remove 'IDE Capabilities' from their deployment package.</t>
  </si>
  <si>
    <t>U.U.1-F10</t>
  </si>
  <si>
    <t>Portal Add AI Capability</t>
  </si>
  <si>
    <t>The 'Configuration Portal' shall allow a customer to add 'AI Capability' to their deployment package.</t>
  </si>
  <si>
    <t>U.U.1-F11</t>
  </si>
  <si>
    <t>Portal Remove AI Capability</t>
  </si>
  <si>
    <t>The 'Configuration Portal' shall allow a customer to remove 'AI Capability' from their deployment package.</t>
  </si>
  <si>
    <t>U.U.1-F12</t>
  </si>
  <si>
    <t>Factory Repo (Evidence)</t>
  </si>
  <si>
    <t>The IDE Factory shall publish the final, signed 'Cyber compliance evidence' to an 'Enterprise Repository' for customer download.</t>
  </si>
  <si>
    <t>Portal Interface for Environment Setup</t>
  </si>
  <si>
    <t>The 'Configuration Portal' shall provide a user-friendly interface for environment setup, configuration, and deployment of IDE instances.</t>
  </si>
  <si>
    <t>Offline Deployment Package</t>
  </si>
  <si>
    <t>The 'site deployment package' shall be a comprehensive, self-contained offline package suitable for air-gapped environment deployment.</t>
  </si>
  <si>
    <t>U.U.2-F1</t>
  </si>
  <si>
    <t>Package Content: SP Binaries</t>
  </si>
  <si>
    <t>The 'site deployment package' shall include the Secure Platform (SP) binaries.</t>
  </si>
  <si>
    <t>U.U.2-F2</t>
  </si>
  <si>
    <t>Package Content: Capability Images</t>
  </si>
  <si>
    <t>The 'site deployment package' shall include the IDE Capability 'gold' container images.</t>
  </si>
  <si>
    <t>Package Content: Install Scripts</t>
  </si>
  <si>
    <t>The 'site deployment package' shall include the installation and update scripts.</t>
  </si>
  <si>
    <t>Package Content: Test Scripts</t>
  </si>
  <si>
    <t>The 'site deployment package' shall include the post-installation test scripts.</t>
  </si>
  <si>
    <t>Package Content: Documentation</t>
  </si>
  <si>
    <t>The 'site deployment package' shall include user and administrator documentation.</t>
  </si>
  <si>
    <t>U.U.2-F6</t>
  </si>
  <si>
    <t>Package Content: Compliance Evidence</t>
  </si>
  <si>
    <t>The 'site deployment package' shall include the 'Cyber Compliance Evidence'.</t>
  </si>
  <si>
    <t>U.U.2-F7</t>
  </si>
  <si>
    <t>Package Content: Admin Tools</t>
  </si>
  <si>
    <t>The 'site deployment package' shall include the 'Local Admin Tools'.</t>
  </si>
  <si>
    <t>System Migration</t>
  </si>
  <si>
    <t>Migration Pre-Validation (Source)</t>
  </si>
  <si>
    <t>The IDE shall provide a 'pre-validation' tool to inspect source (legacy) environments to evaluate migration effects on systems, applications, and data integrity.</t>
  </si>
  <si>
    <t>Migration Utility (Connect)</t>
  </si>
  <si>
    <t>The IDE shall provide an 'IDE Migration Utility' with a guided interface to connect to a backup source.</t>
  </si>
  <si>
    <t>Migration Post-Validation Tools</t>
  </si>
  <si>
    <t>The IDE shall provide post-migration validation tools to ensure all systems and applications are functioning as expected and no data loss has occurred.</t>
  </si>
  <si>
    <t>Migration Auditing</t>
  </si>
  <si>
    <t>The IDE shall maintain auditable logs, ingested by the 'Centralized Logging' service, of all migration and upgrade activities.</t>
  </si>
  <si>
    <t>U.U.3-F5</t>
  </si>
  <si>
    <t>Migration Pre-Validation (Dest)</t>
  </si>
  <si>
    <t>The IDE shall provide a 'pre-validation' tool to inspect destination (IDE) environments to evaluate migration effects on systems, applications, and data integrity.</t>
  </si>
  <si>
    <t>U.U.3-F6</t>
  </si>
  <si>
    <t>Migration Utility (Map)</t>
  </si>
  <si>
    <t>The 'IDE Migration Utility' shall provide a guided interface to map legacy data to IDE-hosted applications.</t>
  </si>
  <si>
    <t>U.U.3-F7</t>
  </si>
  <si>
    <t>Migration Utility (Execute)</t>
  </si>
  <si>
    <t>The 'IDE Migration Utility' shall execute the data transfer.</t>
  </si>
  <si>
    <t>U.U.3-F8</t>
  </si>
  <si>
    <t>Migration Post-Validation Checklists</t>
  </si>
  <si>
    <t>The IDE shall provide post-migration validation checklists to ensure all systems and applications are functioning as expected and no data loss has occurred.</t>
  </si>
  <si>
    <t>Migration Backup</t>
  </si>
  <si>
    <t>The IDE shall implement data backup procedures to ensure that authoritative data is securely backed up prior to executing the migration or upgrade.</t>
  </si>
  <si>
    <t>Baseline L3 Req Text</t>
  </si>
  <si>
    <t>Row Labels</t>
  </si>
  <si>
    <t>Grand Total</t>
  </si>
  <si>
    <t>Column Labels</t>
  </si>
  <si>
    <t>Count of Table 1-Level 3 ID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</si>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</sst>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refreshedDate="45978.705233449073" createdVersion="8" refreshedVersion="8" minRefreshableVersion="3" recordCount="393" xr:uid="{A55BEE4D-7A0D-43CD-BE5D-0C7287E384BE}">
  <cacheSource type="worksheet">
    <worksheetSource ref="A1:H1048576" sheet="IDE_ConOps_4_3_Model_Trace_LVL3"/>
  </cacheSource>
  <cacheFields count="8">
    <cacheField name="Table 1-Level 3 ID" numFmtId="0">
      <sharedItems containsBlank="1"/>
    </cacheField>
    <cacheField name="Baseline L3 Req Text" numFmtId="0">
      <sharedItems containsBlank="1" count="83">
        <s v="The IDE shall provide a 'Consolidated Admin Interface' as a secure, web-based UI to provide a single pane of glass for L1/L2 administrative tasks."/>
        <s v="The IDE shall provide a 'Centralized Logging and Monitoring' service as a consolidated pipeline for all security audit events."/>
        <s v="The 'Consolidated Admin Interface' shall provide a module for managing platform-level access permissions."/>
        <s v="The IDE shall provide an 'IDE Migration Utility' with a guided interface to connect to a backup source."/>
        <s v="The IDE shall implement data backup procedures to ensure that authoritative data is securely backed up prior to executing the migration or upgrade."/>
        <s v="The IDE shall maintain auditable logs, ingested by the 'Centralized Logging' service, of all migration and upgrade activities."/>
        <s v="The IDE shall provide post-migration validation tools to ensure all systems and applications are functioning as expected and no data loss has occurred."/>
        <s v="The IDE shall provide a 'pre-validation' tool to inspect source (legacy) environments to evaluate migration effects on systems, applications, and data integrity."/>
        <s v="The IDE shall provide a capability for work and backlog management."/>
        <s v="The IDE 'Secure Platform' and 'IDE Capability Layer' components shall be hardened to comply with NIST SP 800-53 (Rev 5)."/>
        <s v="The IDE shall provide a 'Centralized Health Dashboard' to display real-time performance status of all platform components."/>
        <s v="The 'Configuration Portal' shall provide a user-friendly interface for environment setup, configuration, and deployment of IDE instances."/>
        <s v="The IDE shall provide a capability to collect, summarize, and review user feedback regarding product configurations and performance."/>
        <s v="The IDE Factory shall provide a web-based 'Configuration Portal' for customers to configure and procure new IDE Instances and updates."/>
        <s v="The IDE shall provide a mandated shared service for Centralized Authentication and Authorization (SSO) that functions as an identity broker, connecting to a customer-provided Identity Provider (IdP)."/>
        <s v="The IDE shall provide a 'Centralized Health Dashboard' to display real-time health status, performance metrics, and Key Performance Indicators (KPIs) of all platform components."/>
        <s v="The 'Backup and Recovery' service shall provide an automated backup policy targeting a Recovery Point Objective (RPO) of &lt;= 24 hours for all 'Customer Data' in platform-managed persistent volumes."/>
        <s v="The IDE shall provide a 'full IDE System Restore' capability to restore the platform from an automated backup, as defined in Scenario 5.4.3."/>
        <s v="The IDE Secure Platform shall provide a mandated shared service for structured data storage (e.g., SQL-compatible)."/>
        <s v="The IDE shall provide a 'destroy IDE script' to securely remove an IDE instance and all associated resources."/>
        <s v="The 'destroy IDE script' shall perform cryptographic erasure of all associated persistent volumes."/>
        <s v="The IDE shall include documented guidance for the 'destroy IDE script' as part of the core product deliverable."/>
        <s v="The IDE 'destroy IDE script' shall generate a 'Data Destruction Certificate' (audit log) of all destruction activities and component erasure status."/>
        <s v="The IDE shall provide a capability for enterprise wiki collaboration."/>
        <s v="The IDE shall provide a capability for users to create and configure custom dashboard templates to accommodate various user needs and metrics."/>
        <s v="The IDE shall provide a 'Centralized Logging and Monitoring' service as a consolidated pipeline for all health metrics."/>
        <s v="The IDE shall provide documentation and resources to assist users in configuring and interpreting dashboards."/>
        <s v="The IDE shall provide a 'Centralized Logging and Monitoring' service as a consolidated pipeline for all platform logs."/>
        <s v="The IDE shall enable dashboard user interaction (e.g., drill-down, filtering) to perform detailed analysis."/>
        <s v="The IDE shall provide a solution to standardize data element definitions from disparate Authoritative Sources of Truth (ASoTs) into a unified data model."/>
        <s v="The IDE shall provide a capability (via the Insights Agent) to query the Digital Thread knowledge graph for complex, multi-domain relationships."/>
        <s v="The IDE Secure Platform shall enable 'Customer-Integrated Applications' to leverage Mandated Shared Services via adherence to the published IDE Interface Control Document (ICD)."/>
        <s v="The IDE shall provide a 'Centralized Logging and Monitoring' service as a consolidated pipeline for all performance metrics."/>
        <s v="The IDE Secure Platform shall provide a capability for customers to deploy their own containerized applications ('Customer-Integrated Applications') alongside the IDE Capability Layer."/>
        <s v="The IDE shall provide a capability for Requirements Management."/>
        <s v="The IDE shall provide a DoD DevSecOps compliant capability for software version control."/>
        <s v="The 'Consolidated Admin Interface' shall provide a module for managing user accounts."/>
        <s v="The IDE shall complete the 'Platform Patching and Upgrades' scenario (Scenario 5.2.2), from execution of the upgrade command to operational readiness, in under one (1) hour."/>
        <s v="The IDE 'Secure Platform' and its 'Mandated Shared Services' shall provide &gt;= 99.99% availability."/>
        <s v="The 'Consolidated Admin Interface' shall provide a module for managing user roles."/>
        <s v="The IDE shall assign each AI agent a distinct, non-human identity (service account) with a unique, role-based access control (RBAC) profile."/>
        <s v="The IDE shall provide a DoD DevSecOps compliant capability for Cyber Security Compliance (DAST) and container scanning."/>
        <s v="The IDE (via the IDE Factory) shall produce and publish a validated 'upgrade package' in response to a critical CVE within 48 hours of public disclosure."/>
        <s v="The IDE 'Secure Platform' and 'IDE Capability Layer' components shall be configured to comply with NIST SP 800-171 controls."/>
        <s v="The IDE shall be delivered as a complete, 'opinionated stack'; deployment of the 'IDE Capability Layer' on a non-IDE platform shall not be supported."/>
        <s v="The 'Cyber compliance evidence' package shall include the baseline System Security Plan (SSP) and control mappings."/>
        <s v="The IDE shall include a formal, version-controlled Interface Control Document (ICD) as a core product deliverable that defines the technical and security 'contract' for integrating customer applications."/>
        <s v="The IDE platform shall be environment-agnostic, supporting deployment in on-premises, private cloud, public cloud, and fully air-gapped networks."/>
        <s v="The 'Centralized Secrets Management' service shall encrypt secrets at rest and in transit using FIPS-approved algorithms."/>
        <s v="The IDE shall provide a DoD DevSecOps compliant capability for Code Quality and Static Analysis (SAST)."/>
        <s v="The IDE 'Secure Platform' and 'IDE Capability Layer' components shall be configured to comply with NIST SP 800-53 (Rev 5)."/>
        <s v="The mandated shared 'Service Mesh' shall enforce zero-trust security via mutually authenticated mTLS for all service-to-service communication."/>
        <s v="The IDE baseline shall be maintained under a formal Continuous Authorization to Operate (cATO) process, enabled by a provider-side DevSecOps pipeline and customer-side Continuous Monitoring (CONMON)."/>
        <s v="The IDE shall provide a Kubernetes (K8s) orchestrator as the foundational platform for all containerized services and applications."/>
        <s v="The IDE shall provide a mandated shared service for 'Centralized Secrets Management' to support the secure storage of platform and application credentials."/>
        <s v="The IDE shall provide a DoD DevSecOps compliant capability for Continuous Integration and Continuous Deployment (CI/CD)."/>
        <s v="The IDE shall provide a mandated shared service for 'Backup and Recovery' that performs automated, policy-based backups of the platform state and customer data."/>
        <s v="The IDE shall provide a mandated shared 'Service Mesh' that provides service discovery."/>
        <s v="The mandated shared service for 'Centralized Secrets Management' shall support the secure rotation of platform and application credentials."/>
        <s v="The 'site deployment package' shall include user and administrator documentation."/>
        <s v="The IDE shall provide a 'Centralized Logging and Monitoring' service as a consolidated pipeline for all application logs."/>
        <s v="The IDE shall provide a mandated shared service for 'In-Cluster VM Management' to orchestrate non-containerized workloads as virtual machines within the cluster."/>
        <s v="The IDE shall provide tools (e.g., Health Dashboard) to detect and report when an IDE Instance has been modified outside of 'IDE provided admin tools', which moves the instance to an 'unsupported' state."/>
        <s v="The mandated shared 'Service Mesh' shall provide policy-driven traffic management."/>
        <s v="The IDE 'Secure Platform' and 'IDE Capability Layer' components shall be hardened to comply with NIST SP 800-171 controls."/>
        <s v="The IDE shall provide a DoD DevSecOps compliant capability for artifact binary control."/>
        <s v="The 'site deployment package' shall be a comprehensive, self-contained offline package suitable for air-gapped environment deployment."/>
        <s v="The IDE shall complete the 'Day 0 Provisioning' scenario (Scenario 5.1.1), from execution of the bootstrap command to operational readiness, in less than four (4) hours."/>
        <s v="The IDE installation process shall provision a new, dedicated K8s cluster and shall not deploy into a pre-existing, non-IDE K8s cluster."/>
        <s v="The 'site deployment package' shall include the post-installation test scripts."/>
        <s v="The IDE shall integrate all 'Centralized Secrets Management' access and management actions with the 'Centralized Logging' service to ensure all actions are auditable."/>
        <s v="The mandated shared service for 'Centralized Secrets Management' shall support the secure distribution of platform and application credentials."/>
        <s v="The 'Consolidated Admin Interface' shall provide an administrative GUI for the 'Centralized Secrets Management' service."/>
        <s v="The IDE shall provide an 'IT Infrastructure Agent (AIOps)' persona integrated with the Centralized Logging service to perform autonomous root cause analysis."/>
        <s v="The 'Cyber compliance evidence' package shall include security scan results (SAST, DAST, container scans)."/>
        <s v="The IDE shall provide a 'Local Security Dashboard' to allow the Local Program Cyber Engineer to review compliance status."/>
        <s v="The IDE shall provide a 'Cyber compliance evidence' package (Body of Evidence) to support customer ATO inheritance."/>
        <s v="The IDE shall integrate the Software Factory capabilities with the Mandated Shared Service for Centralized Authorization (RBAC)."/>
        <s v="The IDE Interface Control Document (ICD) shall define the programmatic API for the 'Centralized Secrets Management' service to enable 'Customer-Integrated Applications' to securely access credentials."/>
        <s v="The 'site deployment package' shall include the installation and update scripts."/>
        <s v="The IDE shall provide a 'Local Security Dashboard' to allow the Local Program Cyber Engineer to review security audit logs."/>
        <s v="The IDE Secure Platform shall provide a mandated shared service for unstructured data storage (e.g., object storage)."/>
        <m/>
      </sharedItems>
    </cacheField>
    <cacheField name="Model file name" numFmtId="0">
      <sharedItems containsBlank="1" count="3">
        <s v="IDE_v2_L3_JS.csv"/>
        <s v="SPL3.csv"/>
        <m/>
      </sharedItems>
    </cacheField>
    <cacheField name="Modeled reference ID" numFmtId="0">
      <sharedItems containsBlank="1" containsMixedTypes="1" containsNumber="1" containsInteger="1" minValue="2" maxValue="241"/>
    </cacheField>
    <cacheField name="Modeled ConOps Reference" numFmtId="0">
      <sharedItems containsBlank="1"/>
    </cacheField>
    <cacheField name="Level 3/4" numFmtId="0">
      <sharedItems containsBlank="1" count="3">
        <s v="L4"/>
        <s v="L3"/>
        <m/>
      </sharedItems>
    </cacheField>
    <cacheField name="Requirement Text" numFmtId="0">
      <sharedItems containsBlank="1" count="392" longText="1">
        <s v="The Integrated Digital Engineering Ecosystem shall only allow authorized personnel to perform configuration and deployment."/>
        <s v="The Integrated Digital Engineering Ecosystem shall log and notify authorized users of errors during account management."/>
        <s v="The Integrated Digital Engineering Ecosystem shall enable authorized users to manage user account permissions."/>
        <s v="The Integrated Digital Engineering Ecosystem shall establish a migration capability that provides the ability to migrate or upgrade systems and applications."/>
        <s v="The Integrated Digital Engineering Ecosystem shall implement data backup procedures to ensure that authoritative data is securely backed up prior to executing the migration or upgrade."/>
        <s v="The Integrated Digital Engineering Ecosystem shall maintain auditable logs of all migration or upgrade activities, documenting changes made, reasons for changes, and responsible personnel."/>
        <s v="The Integrated Digital Engineering Ecosystem shall perform post-migration validation to ensure that all systems and applications are functioning as expected and that no data loss has occurred."/>
        <s v="The Integrated Digital Engineering Ecosystem shall provide pre-validation to evaluate how the migration or upgrade will affect existing systems, applications, and data integrity."/>
        <s v="The Integrated Digital Engineering Ecosystem shall identify and document stakeholders involved in the migration or upgrade process."/>
        <s v="The Integrated Digital Engineering Ecosystem's authorized only personnel shall manage configurations."/>
        <s v="The Integrated Digital Engineering Ecosystem shall adhere to configuration management best practices and standards."/>
        <s v="The Integrated Digital Engineering Ecosystem shall notify users of failed configuration updates or conflicts."/>
        <s v="The Integrated Digital Engineering Ecosystem shall track and manage configuration changes across integrated tools and environments."/>
        <s v="The Integrated Digital Engineering Ecosystem shall ensure security policies are followed regarding configuration access."/>
        <s v="The Integrated Digital Engineering Ecosystem shall provide user-friendly interface for viewing and managing configurations."/>
        <s v="The Integrated Digital Engineering Ecosystem shall collect feedback from developers and users regarding their experiences with new configurations, summarizing findings for review."/>
        <s v="The Integrated Digital Engineering Ecosystem shall enable configuration and deployment of integrated digital environments that support NGIDE tool solutions. "/>
        <s v="The Integrated Digital Engineering Ecosystem shall log deployment errors."/>
        <s v="The Integrated Digital Engineering Ecosystem shall provide an interface for environment setup."/>
        <s v="The Integrated Digital Engineering Ecosystem shall ensure secure access to configuration settings and deployment processes. "/>
        <s v="The Integrated Digital Engineering Ecosystem shall provide the summary status of deployment."/>
        <s v="The Integrated Digital Engineering Ecosystem shall comply with organizational security policies."/>
        <s v="The Integrated Digital Engineering Ecosystem shall enable authorized user access to data management features."/>
        <s v="The Integrated Digital Engineering Ecosystem shall comply with data retention policies and regulations."/>
        <s v="The Integrated Digital Engineering Ecosystem shall support the ability to implement data management in accordance with the governing master disaster recovery plan."/>
        <s v="The Integrated Digital Engineering Ecosystem shall log and report failed data operations."/>
        <s v="The Integrated Digital Engineering Ecosystem shall enable users to manage data lifecycle processes, including storage, retrieval, and archiving."/>
        <s v="The Integrated Digital Engineering Ecosystem shall protect sensitive data in compliance with security policies and regulations."/>
        <s v="The Integrated Digital Engineering Ecosystem shall provide a user interface for data management."/>
        <s v="The Integrated Digital Engineering Ecosystem shall protect user data in accordance with governing data protection regulations."/>
        <s v="The Integrated Digital Engineering Ecosystem shall allow only authorized personnel to perform the destruction process."/>
        <s v="The Integrated Digital Engineering Ecosystem shall follow data destruction best practices to comply with regulations."/>
        <s v="The Integrated Digital Engineering Ecosystem shall provide documented guidance to authorized users for the IDE destruction process."/>
        <s v="The Integrated Digital Engineering Ecosystem shall log and notify authorized users of status and issues encountered during the destruction process."/>
        <s v="The Integrated Digital Engineering Ecosystem shall provide the ability to  completely remove the integrated digital environment leaving the system in a stable state."/>
        <s v="The Integrated Digital Engineering Ecosystem shall support multi-user dashboard collaboration features."/>
        <s v="The Integrated Digital Engineering Ecosystem shall provide configurable dashboard templates to accommodate various user needs and metrics."/>
        <s v="The Integrated Digital Engineering Ecosystem shall integrate with data streams to ensure data availability."/>
        <s v="The Integrated Digital Engineering Ecosystem shall provide documentation resources to assist users in configuring and interpreting dashboards."/>
        <s v="The Integrated Digital Engineering Ecosystem shall support dashboard displays of key performance indicators for decision-making processes."/>
        <s v="The Integrated Digital Engineering Ecosystem shall maintain historical data logs."/>
        <s v="The Integrated Digital Engineering Ecosystem shall support customizable alerts and notifications."/>
        <s v="The Integrated Digital Engineering Ecosystem shall support updates to dashboards."/>
        <s v="The Integrated Digital Engineering Ecosystem shall provide user authentication and authorization mechanisms to secure access to dashboard configurations and data."/>
        <s v="The Integrated Digital Engineering Ecosystem shall enable dashboard user interaction to perform detailed analysis."/>
        <s v="The Integrated Digital Engineering Ecosystem shall enable the ability to manage data within the digital engineering ecosystem throughout the product lifecycle."/>
        <s v="The Integrated Digital Engineering Ecosystem shall enable the ability to store data within the digital engineering ecosystem throughout the product lifecycle."/>
        <s v="The Integrated Digital Engineering Ecosystem shall support the Digital Thread Management Solution capabilities."/>
        <s v="The Integrated Digital Engineering Ecosystem shall enable the ability to integrate digital engineering applications throughout the product lifecycle."/>
        <s v="The Integrated Digital Engineering Ecosystem shall support the ability to map product lifecycle activities to the digital engineering ecosystem."/>
        <s v="The Integrated Digital Engineering Ecosystem shall support the ability to track performance metrics across the product lifecycle."/>
        <s v="The Integrated Digital Engineering Ecosystem shall provide capabilities to support hosting non-IDE applications."/>
        <s v="The Integrated Digital Engineering Ecosystem shall provide Planning and Collaboration Capabilities."/>
        <s v="The Integrated Digital Engineering Ecosystem shall provide System Engineering Factory Capabilities."/>
        <s v="The Integrated Digital Engineering Ecosystem shall provide Software Factory  Capabilities."/>
        <s v="The Integrated Digital Engineering Ecosystem shall enable only authorized users to access logs."/>
        <s v="The Integrated Digital Engineering Ecosystem shall ensure logging practices comply with governing policy and regulations."/>
        <s v="The Integrated Digital Engineering Ecosystem  shall provide configurable dashboard to support logging and monitoring."/>
        <s v="The Integrated Digital Engineering Ecosystem shall generate alerts for critical logging failures."/>
        <s v="The Integrated Digital Engineering Ecosystem shall enable log aggregation to comply with governing guidance for performance."/>
        <s v="The Integrated Digital Engineering Ecosystem shall centralize logs from integrated tools for performance and security monitoring."/>
        <s v="The Integrated Digital Engineering Ecosystem shall ensure logs are protected against unauthorized access and tampering."/>
        <s v="The Integrated Digital Engineering Ecosystem shall generate alerts for security events."/>
        <s v="The Integrated Digital Engineering Ecosystem shall enable authorized user access to operational state information."/>
        <s v="The Integrated Digital Engineering Ecosystem shall generate alerts on operational events."/>
        <s v="The Integrated Digital Engineering Ecosystem shall secure operational state data."/>
        <s v="The Integrated Digital Engineering Ecosystem shall enable dashboards showing the operational status of systems."/>
        <s v="The Integrated Digital Engineering Ecosystem shall provide a user interface for managing user accounts."/>
        <s v="The digital ecosystem shall enable only authorized users access to MFA configuration settings."/>
        <s v="The digital ecosystem shall implement multi-factor authentication (MFA) mechanisms for applications when granting access from the Internet or other untrusted network."/>
        <s v="The digital ecosystem shall support multiple MFA methods, including SMS verification codes, email links, authentication apps, and biometric verification."/>
        <s v="The digital ecosystem shall enable only authorized users access to authentication protocol configuration."/>
        <s v="The  digital ecosystem shall enable configuration of applications to utilize approved authentication protocols, including SAML, WS-Fed, OAuth, and OIDC."/>
        <s v="The Integrated Digital Engineering Ecosystem shall ensure compliance with maintenance and operational state defintions."/>
        <s v="The Integrated Digital Engineering Ecosystem shall enable monitoring and management of the system and tools during the operational state."/>
        <s v="The Integrated Digital Engineering Ecosystem shall comply with organizational IT governance."/>
        <s v="The Integrated Digital Engineering Ecosystem shall conduct performance optimizations to be performed by authorized users only."/>
        <s v="The Integrated Digital Engineering Ecosystem shall comply with internal performance standards and benchmarks."/>
        <s v="The Integrated Digital Engineering Ecosystem shall provide alerts for performance degradation beyond defined thresholds."/>
        <s v="The Integrated Digital Engineering Ecosystem shall provide tools for monitoring and optimizing the performance of the digital ecosystem components."/>
        <s v="The Integrated Digital Engineering Ecosystem shall implement security measures to protect sensitive performance data."/>
        <s v="The Integrated Digital Engineering Ecosystem users shall have access to a dashboard displaying optimization suggestions."/>
        <s v="The Integrated Digital Engineering Ecosystem shall make work instructions  available to authorized personnel."/>
        <s v="The Integrated Digital Engineering Ecosystem shall implement role-based access controls."/>
        <s v="The Integrated Digital Engineering Ecosystem shall enable user account changes to reflect across all integrated systems."/>
        <s v="The Integrated Digital Engineering Ecosystem shall allow authorized users to manage user accounts within the digital ecosystem."/>
        <s v="The Integrated Digital Engineering Ecosystem shall limit access for processes acting on behalf of authorized users."/>
        <s v="The integrated Digital Engineering Ecosystem shall  perform vulnerability scans in applications  containing CUI weekly"/>
        <s v="The Integrated Digital Engineering Ecosystem shall review, approve or disapprove changes to IDE systems. "/>
        <s v="The Integrated Digital Engineering Ecosystem shall  terminate a user session automatically after any of the defined conditions occur."/>
        <s v="The Integrated Digital Engineering Ecosystem shall track and manage configuration changes across integrated tools and environments throughout the systems development life cycle."/>
        <s v="The Integrated Digital Engineering Ecosystem shall capture the execution of privileged functions in audit logs."/>
        <s v="The Integrated Digital Engineering Ecosystem shall check media containing diagnostic and test programs for malicious code before the media is used in systems."/>
        <s v="The Integrated Digital Engineering Ecosystem shall prevent installation of software by users"/>
        <s v="The Integrated Digital Engineering Ecosystem customers shall control access to media containing CUI."/>
        <s v="The Integrated Digital Engineering Ecosystem shall correct system flaws within the specified time frame."/>
        <s v="The Integrated Digital Engineering Ecosystem shall define authorizations for controlling the flow of CUI."/>
        <s v="The Integrated Digital Engineering Ecosystem shall document incidents."/>
        <s v="The Integrated Digital Engineering Ecosystem shall Control the flow of CUI in accordance with approved authorizations."/>
        <s v="The Integrated Digital Engineering Ecosystem shall enforce minimum password change of character requirements when new passwords are created. "/>
        <s v="The Integrated Digital Engineering Ecosystem shall  enforce minimum password complexity requirements when new passwords are created."/>
        <s v="The Integrated Digital Engineering Ecosystem's shall logically restrict access so that only authorized personnel can manage configurations."/>
        <s v="The Integrated Digital Engineering Ecosystem shall define essential programs."/>
        <s v="The Integrated Digital Engineering Ecosystem shall define the external system boundary."/>
        <s v="The Integrated Digital Engineering Ecosystem shall document connections to external systems. "/>
        <s v="The Integrated Digital Engineering Ecosystem shall control/limit the connections to external systems."/>
        <s v="The Integrated Digital Engineering Ecosystem shall identify the use of external systems."/>
        <s v="The Integrated Digital Engineering Ecosystem shall employ FIPS-validated cryptography when used to protect the confidentiality of CUI."/>
        <s v="The Integrated Digital Engineering Ecosystem shall identify unauthorized use of organizational systems."/>
        <s v="The Integrated Digital Engineering Ecosystem shall conceal previously visible information via a pattern hiding display after 20 minutes of inactivity."/>
        <s v="The Integrated Digital Engineering Ecosystem shall limit access to CUI on system media to authorized users."/>
        <s v="The Integrated Digital Engineering Ecosystem shall notify identified authorities of incidents."/>
        <s v="The Integrated Digital Engineering Ecosystem shall perform malicious code scans with the defined frequency."/>
        <s v="The Integrated Digital Engineering Ecosystem shall protect the confidentiality of CUI."/>
        <s v="The Integrated Digital Engineering Ecosystem shall identify software development techniques that promote effective information security."/>
        <s v="The Integrated Digital Engineering Ecosystem shall establish separate accounts for individuals whose duties and accesses must be separated."/>
        <s v="The Integrated Digital Engineering Ecosystem shall correlate  audit record  analysis and reporting processes."/>
        <s v="The Integrated Digital Engineering Ecosystem shall define types of audit logging process failures for which alerts will be generated."/>
        <s v="The Integrated Digital Engineering Ecosystem shall identify personnel or roles to be alerted in the event of an audit logging process failure."/>
        <s v="The Integrated Digital Engineering Ecosystem shall specify the audit logs needed to enable the monitoring, analysis, investigation, and reporting of unlawful or unauthorized system activities."/>
        <s v="The Integrated Digital Engineering Ecosystem shall define methods and enforcement mechanisms for controlling the flow of CUI."/>
        <s v="The Integrated Digital Engineering Ecosystem shall describe and document the system boundary."/>
        <s v="The Integrated Digital Engineering Ecosystem shall describe and document the relationship with or connection to the other systems in the system security plan."/>
        <s v="The Integrated Digital Engineering Ecosystem shall describe and document the system environment of operation."/>
        <s v="The Integrated Digital Ecosystem shall employ identified software development techniques that promote effective information security."/>
        <s v="The Integrated Digital Engineering Ecosystem shall employ an architectural design that promotes effective information security."/>
        <s v="The Integrated Digital Engineering Ecosystem shall enforce security configuration settings for information technology products employed in the system."/>
        <s v="The Integrated Digital Engineering Ecosystem shall define essential system capabilities based on the principle of least functionality."/>
        <s v="The Integrated Digital Engineering Ecosystem shall restrict the use of nonessential programs, functions, ports, protocols, and services."/>
        <s v="The Integrated Digital Engineering Ecosystem shall identify deficiencies and vulnerabilities to be addressed by a plan of action."/>
        <s v="The Integrated Digital Engineering Ecosystem shall identify processes acting on behalf of authorized users."/>
        <s v="The Integrated Digital Engineering Ecosystem shall limit unsuccessful login attempts."/>
        <s v="The Integrated Digital Engineering Ecosystem shall define a period of inactivity after which an identifier is disabled."/>
        <s v="The Integrated Digital Engineering Ecosystem shall use multifactor authentication for local and network access to privileged accounts and for network access to non-privileged accounts."/>
        <s v="The Integrated Digital Engineering Ecosystem shall prevent unauthorized and unintended information transfer via shared system resources."/>
        <s v="The Integrated Digital Engineering Ecosystem shall specify the number of generations when reuse of passwords is prohibited."/>
        <s v="The Integrated Digital Engineering Ecosystem shall protect communications at key internal boundaries."/>
        <s v="The Integrated Digital Engineering Ecosystem shall identify privileged accounts. "/>
        <s v="The Integrated Digital Engineering Ecosystem shall identify security functions."/>
        <s v="The Integrated Digital Engineering Ecosystem shall identify authorized users."/>
        <s v="The Integrated Digital Engineering Ecosystem shall define logical access restrictions associated with changes to the system."/>
        <s v="The Integrated Digital Engineering Ecosystem shall identify system management functionality."/>
        <s v="The Integrated Digital Engineering Ecosystem shall Monitor system security alerts and advisories and take action in response."/>
        <s v="The Integrated Digital Engineering Ecosystem shall protect the authenticity of communications sessions."/>
        <s v="The Integrated Digital Engineering Ecosystem shall identify publicly accessible system components."/>
        <s v="The Integrated Digital Engineering Ecosystem shall perform real-time malicious code scans of files from external sources as files are downloaded, opened, or executed."/>
        <s v="The Integrated Digital Engineering Ecosystem shall identify architectural designs that promote effective information security."/>
        <s v="The Integrated Digital Engineering Ecosystem shall assess security controls with the defined frequency to determine if the controls are effective in their application."/>
        <s v="The Integrated Digital Engineering Ecosystem shall analyze whether changes will impact security prior to implementing the changes."/>
        <s v="The Integrated Digital Engineering Ecosystem shall assign information security-related issues to designated personnel roles."/>
        <s v="The Integrated Digital Engineering Ecosystem shall separate user functionality from system management functionality."/>
        <s v="The Integrated Digital Engineering Ecosystem shall Perform maintenance on IDE systems. "/>
        <s v="The Integrated Digital Engineering Ecosystem shall terminate system access and credentials consistent with personnel actions such as termination or transfer according to a predefined process."/>
        <s v="The Integrated Digital Engineering Ecosystem shall require users to use non-privileged accounts or roles when accessing non security functions."/>
        <s v="The Secure Platform shall provide a user interface for managing user accounts and access permissions."/>
        <s v="The Secure Platform shall monitor the performance and health of applications."/>
        <s v="The Secure Platform shall provide a container orchestration environment."/>
        <s v="When tracking performance and health metrics, Secure Platform shall monitor and log health data for applications."/>
        <s v="When log data is created or edited, the Secure Platform shall securely archive and retrieve historical log data."/>
        <s v="Secure Platform Shall encrypt authentication credentials at rest."/>
        <s v="Secure Platform Shall encrypt authentication credentials in transit."/>
        <s v="The Secure Platform automate deployment and update applications through the Continuous Integration/Continuous pipeline."/>
        <s v="If a failure event occurs, the Secure Platform shall automate failover mechanisms to switch to backup systems."/>
        <s v="The Secure Platform shall automate backup processes for all deployed systems and data."/>
        <s v="The Secure Platform shall automatically discover micro services within the service mesh."/>
        <s v="The Secure Platform shall automatically register micro services within the service mesh."/>
        <s v="Secure Platform shall enforce automated rotation of secrets."/>
        <s v="The Secure Platform shall implement periodic testing of disaster recovery mechanisms."/>
        <s v="The Secure Platform shall log and monitor for availability-related metrics and events."/>
        <s v="The Secure Platform shall provide documentation for managing backup and recovery processes."/>
        <s v="When requested, the Secure Platform shall backup and recover containerized applications and their associated data."/>
        <s v="The Secure Platform shall test and validate the backup and recovery process."/>
        <s v="While managing and monitoring backup processes, the Secure Platform shall provide a user interface."/>
        <s v="The Secure Platform shall have centralized logging for required application components."/>
        <s v="The Secure Platform shall provide centralized logging for required infrastructure components."/>
        <s v="The Secure Platform shall create detailed logs of Continuous Integration/Continuous Delivery pipeline execution."/>
        <s v="The Secure Platform shall provide dashboard interfaces to visualize the status and performance of Continuous Integration/Continuous Deployment pipelines."/>
        <s v="The Secure Platform shall provide Continuous Integration/Continuous Deployment pipeline status notification."/>
        <s v="The Secure Platform shall integrate security scanning tools into the CI/CD pipeline."/>
        <s v="The Secure Platform client devices, identified for information technology products, shall be configured in accordance with CTM R200."/>
        <s v="The Secure Platform shall employ compliance auditing of VM configurations."/>
        <s v="The Secure Platform shall employ compliance auditing of VM management activities."/>
        <s v="The Secure Platform shall employ compliance auditing of configuration management activities."/>
        <s v="The Secure Platform shall employ compliance auditing of provisioning activities."/>
        <s v="The Secure Platform shall monitor the performance and health of infrastructure and application components."/>
        <s v="The Secure Platform shall detect configuration drifts."/>
        <s v="The Secure Platform shall provide configuration drift alerts."/>
        <s v="The Secure Platform shall employ version control of configuration management scripts."/>
        <s v="The Secure Platform shall provide a user interface for managing provisioning scripts."/>
        <s v="While the Secure Platform is being deployed, it shall manage environment-specific settings."/>
        <s v="The Secure Platform shall deploy containerized applications through a Continuous Integration/ Continuous Deployment pipeline."/>
        <s v="The Secure Platform shall monitor containerized application health."/>
        <s v="When health issues are detected in containerized applications, the Secure Platform shall deploy alerts and notifications."/>
        <s v="The Secure Platform shall implement security measures for containerized applications in accordance with NIST SP 800-190."/>
        <s v="The Secure Platform shall employ version control for containerized applications."/>
        <s v="The Secure Platform shall securely store credentials."/>
        <s v="The Secure Platform shall regularly perform health checks and diagnostics on critical components and services."/>
        <s v="The Secure Platform shall employ traffic load balancing."/>
        <s v="In the event of catastrophic failure, the Secure Platform shall have disaster recovery mechanisms to restore services."/>
        <s v="The Secure Platform shall provide secure access  for external users."/>
        <s v="The Secure Platform shall perform horizontal scaling of containerized applications."/>
        <s v="The Secure Platform shall provide documentation for deploying hosted applications."/>
        <s v="The Secure Platform shall implement security controls for hosted applications to comply with NIST SP 800-171."/>
        <s v="The Secure Platform shall utilize industry-standard container registries."/>
        <s v="When used in air-gapped environments, the Secure Platform shall report dependencies required by Infrastructure-as-Code (IaC) scripts."/>
        <s v="The Secure Platform shall use Infrastructure as Code (IaC) tools for configuration management."/>
        <s v="The Secure Platform shall use Infrastructure as Code (IaC) tools for provisioning."/>
        <s v="The Secure Platform shall perform infrastructure provisioning via declaritive Infrastructure as Code (IaC) languages."/>
        <s v="The Secure Platform shall provide logging and monitoring of IaC script execution."/>
        <s v="The Secure Platform shall use Infrastructure as Code (IaC) scripts in air-gapped environments."/>
        <s v="Prior to deployment, the Secure Platform shall automatically test IaC scripts."/>
        <s v="The Secure Platform shall monitor performance and health of infrastructure components."/>
        <s v="The Secure Platform shall automate the infrastructure provisioning as part of a Continuous Integration/Continuous Deployment pipeline."/>
        <s v="The Secure Platform shall utilize a container runtime to run containerized applications."/>
        <s v="The Secure Platform shall provide tools for container orchestration."/>
        <s v="The Secure Platform shall provide metrics and monitoring for load balancing activities within the service mesh."/>
        <s v="The Secure Platform shall provide a unified view of aggregated log data."/>
        <s v="The Secure Platform shall encrypt log data at rest."/>
        <s v="The Secure Platform shall securely archive and retrieve historical log data."/>
        <s v="The Secure Platform shall encrypt log data in transit."/>
        <s v="The Secure Platform shall provide documentation for logging and monitoring capabilities."/>
        <s v="The Secure Platform shall provide logging and monitoring of configuration management activities."/>
        <s v="The Secure Platform shall provide logging and monitoring of provisioning activities."/>
        <s v="The Secure Platform shall provide detailed logging and monitoring of secrets management activities."/>
        <s v="The Secure Platform shall notify users when periods of maintenance have been completed."/>
        <s v="The Secure Platform shall store and manage build artifacts within an artifact repository."/>
        <s v="When container orchestration exists, the Secure Platform shall configure and manage scaling policies for container orchestration clusters."/>
        <s v="The Secure Platform shall enforce mutually authenticated Transport Layer Security connections between cluster members."/>
        <s v="The Secure Platform shall minimize downtime during updates IAW CO J100, Business Continuity and Crisis Management."/>
        <s v="The Secure Platform shall deploy multi-cluster management solutions."/>
        <s v="The Secure Platform shall define, monitor, and manage network interactions between microservices."/>
        <s v="The Secure Platform shall notify users for periods of maintenance."/>
        <s v="During specified increments, the Secure Platform shall backup to optimize storage utilization."/>
        <s v="When an outage is planned, the Secure Platform shall display a countdown until service is taken offline to provide end users a minimum of 60 minutes notice before a planned outage."/>
        <s v="When in an operational state, the Secure Platform shall notify end users a minimum of 24 hours prior to planned maintenance downtime."/>
        <s v="The Secure Platform shall enable policy-driven traffic management, including traffic splitting, mirroring, and retries."/>
        <s v="The Secure Platform shall provide a user interface for querying and visualizing log data."/>
        <s v="The Secure Platform shall employ infrastructure practices to ensure that environments are consistently recreated from IaC scripts."/>
        <s v="The Secure Platform shall generate reports based on backup and recovery activities."/>
        <s v="The Secure Platform shall generate reports based on monitoring data."/>
        <s v="When restoring data, the Secure Platform shall use data from backups in a known good state."/>
        <s v="Following restoration of service, the Secure Platform shall notify end users within 15 minutes."/>
        <s v="When there is a deployment failure, the Secure Platform shall provide rollback capabilities to previous versions."/>
        <s v="The Secure Platform shall provide rolling updates to containerized applications."/>
        <s v="When demand exceeds a defined resource availability configured in the system, the Secure Platform shall automatically add infrastructure resources."/>
        <s v="The Secure Platform shall allocate resources dynamically based on current system demands to ensure scalability of the infrastructure."/>
        <s v="The Secure Platform shall utilize Infrastructure as Code (IaC) practices to automate the provisioning and management of scalable environments."/>
        <s v="The Secure Platform shall maintain documentation of infrastructure changes."/>
        <s v="The Secure Platform shall ensure compatibility with cloud and on-premises platforms."/>
        <s v="The Secure Platform shall implement real-time performance monitoring tools to assess system performance and identify bottlenecks."/>
        <s v="The Secure Platform shall employ automatic scaling of containerized applications in response to demand fluctuations."/>
        <s v="The Secure Platform shall provide backups with configurable frequency and retention periods."/>
        <s v="The Secure Platform shall provide a user interface for managing configuration management scripts."/>
        <s v="The Secure Platform employ version control for configuration management scripts."/>
        <s v="The Secure Platform shall encrypt secrets using FIPS 140-approved algorithms at rest."/>
        <s v="The Secure Platform shall encrypt secrets using FIPS 140-approved algorithms in transit."/>
        <s v="The Secure Platform shall securely distribute secrets to applications and services."/>
        <s v="The Secure Platform shall import and export secrets using cryptography."/>
        <s v="The Secure Platform shall configure duration expiration and revocation of secrets IAW CTM R200."/>
        <s v="The Secure Platform shall provide documentation for secure application development and deployment."/>
        <s v="The Secure Platform shall provide container creation, testing, and deployment capability."/>
        <s v="The Secure Platform shall log and audit all security-related events and actions."/>
        <s v="The Secure Platform shall employ Single Sign-On (SSO) IAW Modern Authentication policy CTM R203 to streamline user authentication processes."/>
        <s v="The Secure Platform shall employ a user interface that securely manages and monitors stored secrets."/>
        <s v="The Secure Platform shall provide monitoring and alerts for system availability."/>
        <s v="Following system maintenance, the Secure Platform shall perform post deployment automated regression testing."/>
        <s v="Following System Feature checkout, the Secure Platform shall provide a status report."/>
        <s v="When accomplishing network load balancing, the Secure Platform shall allocate available computing resources without capping any individual resource or disrupting user processing."/>
        <s v="The Secure Platform shall provide performance alerts."/>
        <s v="While the Secure Platform is in an operational state, at the frequency defined in the System Sustainment Plan [TBD reference], the Secure Platform shall document, in a human readable report, system status of elements identified in the System Sustainment Plan in a user designated location.."/>
        <s v="Within 30 minutes of service going down, Secure Platform shall notify end users of unexpected interruption of service."/>
        <s v="The Secure Platform shall automate validation and testing of provisioning and configuration scripts before deployment."/>
        <s v="The Secure Platform shall perform version control within automated build processes."/>
        <s v="The Secure Platform shall provision virtual machines (VMs) within both cloud and on-prem environments."/>
        <s v="The Secure Platform shall create documentation and guidelines for VM provisioning, management, and best practices."/>
        <s v="The Secure Platform shall provide an interface for managing VM lifecycles, including start, stop, restart, and snapshot capabilities."/>
        <s v="The Secure Platform shall allow the creation, configuration, and deletion of VMs programmatically through APIs."/>
        <s v="When in an operational state, the Secure Platform shall provide migration of virtual machines between different environments to include between different cloud providers and on-prem to cloud."/>
        <s v="The Secure Platform shall provide monitoring and logging for VM performance metrics, including CPU, memory, disk usage, and network activity."/>
        <s v="When a system user attempts to log in, the Secure Platform shall create an audit log."/>
        <s v="The Secure Platform shall log system user activities."/>
        <s v="The Secure Platform shall have access control policies that can be uniquely set per application."/>
        <s v="The Secure Platform shall log access control changes."/>
        <s v="When a user is no longer in the system, the Secure Platform shall automatically revoke access.."/>
        <s v="The Secure Platform shall define and enforce password policies, including complexity, expiration, and reuse limitations."/>
        <s v="When the system detects anomalies or security incidents, the Secure Platform shall provide real-time alerts and notifications."/>
        <s v="When managing external and internal API traffic, the Secure Platform shall employ API gateways."/>
        <s v="The Secure Platform shall have a user interface for managing and monitoring APIs and their interactions within the service mesh."/>
        <s v="While the Secure Platform is in an operational state, the Secure Platform shall automate anomaly detection."/>
        <s v="When a log is generated, the Secure Platform shall automate log analysis."/>
        <s v="The Secure Platform shall ensure compliance with NIST 800-53 for backup and recovery processes."/>
        <s v="When data is in transit or at rest, the Secure Platform shall encrypt all backup data."/>
        <s v="The Secure Platform shall verify the integrity and completeness of backup data."/>
        <s v="When a backup success, failure, or anomaly occurs, the Secure Platform shall provide real-time alerts and notifications."/>
        <s v="The Secure Platform shall utilize biometric authentication methods."/>
        <s v="When storing and managing sensitive information such as API keys, passwords, and certificates, the Secure Platform shall have a centralized secrets management solution."/>
        <s v="The Secure Platform shall automate security testing as part of the Continuous Integration/Continuous Deployment pipeline."/>
        <s v="When external partner interactions and access controls occur, the Secure Platform shall employ compliance auditing."/>
        <s v="Prior to deployment, the Secure Platform shall scan container images for vulnerabilities."/>
        <s v="When containerized applications are executing, the Secure Platform shall employ runtime security monitoring and protection."/>
        <s v="The Secure Platform shall ensure high availability of all critical components and services, with a target uptime of 99.99%."/>
        <s v="While the Secure Platform is in a development phase, the Secure Platform shall ensure the compliance for each identified Continuous Integration/Continuous Deployment pipeline process IAW NIST 800-53."/>
        <s v="At a frequency IAW the [TBD Cyber Security reference], the Secure Platform will scan system infrastructure and installed applications for cyber threats."/>
        <s v="At the frequency defined in the System Security Plan [TBD reference], the Secure Platform shall document, in a human readable report, threats identified during Cyber Security scans of elements identified in the System Security Plan in a user designated location."/>
        <s v="The Secure Platform shall have data retention capability with an ability to specify the period of retention dating from the original backup date."/>
        <s v="When new versions of drivers are added to the platform, the Secure Platform shall remove the outdated drivers."/>
        <s v="While the Secure Platform is in an operational state, Secure Platform shall encrypt communication channels."/>
        <s v="While the Secure Platform is in an operational state, the Secure Platform shall encrypt communication channels between microservices to ensure data security."/>
        <s v="While interacting with external partners, the Secure Platform shall encrypt communication channels."/>
        <s v="The Secure Platform shall encrypt network infrastructure and hosted application containers IAW the [TBD Cyber Security reference]."/>
        <s v="The Secure Platform shall integrate with an external identity provider (IdP) for authentication."/>
        <s v="When authenticating and authorizing microservices, the Secure Platform shall integrate with external identity provider."/>
        <s v="Once approved through the Network Design Review Board IAW CTM R200 Border Crossing Proposals, the Secure Platform shall connect to external networks defined in the System Security Plan."/>
        <s v="The Secure Platform shall integrate with existing firewall solutions to enforce security policies within the service mesh."/>
        <s v="The Secure Platform shall deploy applications and services across multiple geographic regions."/>
        <s v="When hosting applications, the Secure Platform shall implement security controls in accordance with NIST 800-53."/>
        <s v="When data is at rest or in transit, the Secure Platform shall encrypt the data for hosted applications."/>
        <s v="When hosting applications, the Secure Platform shall continuously monitor and assess security controls."/>
        <s v="While the Secure Platform is in an operational state, when authenticating and authorizing, the Secure Platform shall integrate with external identity and access management (IAM) systems."/>
        <s v="The Secure Platform shall ensure that all IaC scripts comply with NIST 800-53 and NIST 800-171."/>
        <s v="When transferring IaC scripts to and from air-gapped systems, the Secure Platform shall transfer them securely."/>
        <s v="The Secure Platform shall audit infrastructure configurations defined by IaC scripts."/>
        <s v="The Secure Platform shall integrate the with external Security Information and Event Management (SIEM) systems."/>
        <s v="The Secure Platform shall isolate resources accessed by external partners from internal resources."/>
        <s v="For retention period identified IAW the NIST 800-171,  the Secure Platform shall store log data."/>
        <s v="The Secure Platform shall monitor configurations IAW NIST 800-53 and NIST 800-171."/>
        <s v="At a frequency IAW R200, the Secure Platform shall scan computing resources and systems for malicious software."/>
        <s v="When applications deployed on the manufacturing floor are executing, the Secure Platform shall secure communication channels."/>
        <s v="When a secrets management solution exists, the Secure Platform shall employ multi-factor authentication (MFA) for accessing the secrets management solution."/>
        <s v="When security-sensitive applications and services exist, the Secure Platform shall implement multi-factor authentication (MFA) for accessing security-sensitive applications and services."/>
        <s v="When providing access, the Secure Platform shall employ multi-factor authentication (MFA) for access to the Secure Platform."/>
        <s v="When multiple systems exist, the Secure Platform shall federate identity management to allow for single sign-on across multiple systems."/>
        <s v="When user nationality is defined in the Active Directory, the Secure Platform shall restrict access to system features based on user nationality."/>
        <s v="The Secure Platform network devices shall be configured in accordance with CTM R200."/>
        <s v="The Secure Platform shall define and enforce network segmentation policies within the service mesh."/>
        <s v="When external partners exist, the Secure Platform shall securely onboard and offboard external partners."/>
        <s v="The Secure Platform shall create documentation and guidelines for external partners to securely interact with the platform."/>
        <s v="The Secure Platform shall follow each step of the RMF, including categorization, selection, implementation, assessment, authorization, and continuous monitoring, as outlined in NIST SP 800-37."/>
        <s v="When risk activities exist, the Secure Platform shall document system details for risk assessment activities."/>
        <s v="While the Secure Platform is in a developmental phase, the Secure Platform shall establish a process for applying the NIST SP 800-37 Risk Management Framework (RMF) to systematically assess and manage system risks."/>
        <s v="While the Secure Platform is in an operational state, and there are changes to the system or environment, the Secure Platform shall establish continuous monitoring procedures to regularly review and update risk assessments based on changes to the system or environment."/>
        <s v="While the Secure Platform is in an developmental phase, the Secure Platform shall maintain comprehensive documentation of RMF activities, including risk assessment results, decisions made, and management strategies implemented."/>
        <s v="The Secure Platform shall employ a standardized methodology for assessing identified risks, including analysis of likelihood and impact to prioritize risk management efforts."/>
        <s v="The Secure Platform shall implement a structured process for identifying potential risks associated with the system, including vulnerabilities, threats, and impacts."/>
        <s v="The Secure Platform shall utilize predefined RMF templates to document assessments for consistency and completeness in risk management reporting."/>
        <s v="When managed permissions exist, Secure Platform shall employ role-based access control (RBAC) for managing permissions within the Continuous Integration/Continuous Deployment pipeline."/>
        <s v="When managed permissions exist, the Secure Platform shall employ role-based access control (RBAC) for managing permissions related to provisioning and configuration management activities."/>
        <s v="When managed permissions and external partners exist, the Secure Platform shall employ role-based access control (RBAC) to manage permissions and access levels for external partners."/>
        <s v="When managed permissions exist, the Secure Platform shall employ role-based access control (RBAC) for managing permissions related to IaC script execution."/>
        <s v="When and managed permissions exist, the Secure Platform shall employ role-based access control (RBAC) for managing permissions related to the PPM application."/>
        <s v="When and managed permissions exist, the Secure Platform shall employ role-based access control (RBAC) for managing permissions related to security integration activities."/>
        <s v="The Secure Platform shall implement role-based access control (RBAC) to manage user permissions and roles."/>
        <s v="When managed permissions exist, the Secure Platform shall employ role-based access control (RBAC) for managing permissions related to VM management activities."/>
        <s v="When managed permissions exist, the Secure Platform shall employ role-based access control (RBAC) for managing permissions related to availability and continuity operations."/>
        <s v="When managed permissions exist, the Secure Platform shall employ role-based access control (RBAC) related to provisioning and configuration management activities."/>
        <s v="When user roles exist, the Secure Platform shall restrict access to system features based on defined user role."/>
        <s v="The Secure Platform shall automatically activate a pattern hiding screen saver requiring user authentication to return to regular system access after no more than 20 minutes of system inactivity on all company computing devices IAW CTM R200."/>
        <s v="When access and modification actions are performed on stored secrets, the Secure Platform shall log all access and modification actions performed on stored secrets,"/>
        <s v="When a secret is accessible to authorized users, the Secure Platform shall provide APIs for securely accessing and managing secrets programmatically."/>
        <s v="When external partners are granted access, the Secure Platform shall provide secure APIs for external partners to interact with platform services."/>
        <s v="When Secure Platform is deployed on the manufacturing floor, it shall provide secure communication channels for applications."/>
        <s v="When users are interacting with the containerized environment, the Secure Platform shall enforce access controls and permissions."/>
        <s v="The Secure Platform shall implement the ability to scan container images for vulnerabilities before deployment IAW NIST-800.37, .171, .190, .53."/>
        <s v="The Secure Platform shall manage containers from authorized sources."/>
        <s v="The Secure Platform shall utilize automated deployment scripts that configure and run containerized environments in accordance with approved security guidelines."/>
        <s v="When a user is interacting with the containerized environment, the Secure Platform shall implement logging and auditing mechanisms to track activities and system changes within the containerized environment."/>
        <s v="The Secure Platform shall configure network security controls, such as firewalls and segmentation, to protect the containerized environment from unauthorized access."/>
        <s v="The Secure Platform shall establish patch management policies to ensure that all container images and underlying systems are regularly updated with security patches."/>
        <s v="The Secure Platform shall ensure that all deployed containerized environments comply with relevant security policies outlined in DODI DevSecOps guidance."/>
        <s v="The Secure Platform shall incorporate intrusion detection and monitoring tools within the containerized environment to identify and respond to security threats in real time."/>
        <s v="The Secure Platform shall support regular security assessments and penetration testing of hosted applications."/>
        <s v="The Secure Platform shall integrate security controls into the CI/CD pipeline IAW NIST SP 800-53."/>
        <s v="When a security incident is detected, the Secure Platform shall provide real-time alerts and notifications regarding the incident."/>
        <s v="The Secure Platform shall support automated alerts and notifications for any suspicious or unauthorized activities performed by system users."/>
        <s v="The Secure Platform shall provide a service mesh control plane to manage traffic, security policies, and observability for microservices."/>
        <s v="The Secure Platform shall provide observability features, including logging, metrics, and tracing, for all microservices within the service mesh."/>
        <s v="When a user session is terminated, the Secure Platform shall require reauthentication for the respective user account prior to establishing a new session."/>
        <s v="While in an operational state, when a user session becomes inactive, the Secure Platform shall enforce session timeouts and automatic logout after periods of inactivity lasting no more than 20 minutes IAW CTM R200."/>
        <s v="The Secure Platform shall failover/fallback in accordance with CO J100."/>
        <s v="The Secure Platform shall support virtual machine clustering and high availability configurations to prevent single points of failure."/>
        <s v="The Secure Platform shall provide documentation and guidelines for maintaining system availability."/>
        <s v="At least once every 24 hours the Secure Platform shall backup structured and unstructured data stored within the system."/>
        <s v="After each scan is complete, the Secure Platform shall document, in a human readable report, system vulnerabilities in a user designated location in accordance with the System Security Plan."/>
        <s v="In a frequency as defined in the System Security Plan, the Secure Platform shall upload compliance with system vulnerabilities scans."/>
        <s v="While the Secure Platform is in an operational state, the Secure Platform shall create an audit trail for each administrative and user access actions IAW NIST 800-171."/>
        <s v="The Secure Platform shall backup and restore virtual machines to ensure data integrity and availability."/>
        <s v="When virtual machine performance issues and security incidents occur, the Secure Platform shall deploy real-time alerts and notifications."/>
        <s v="The Secure Platform shall implement security controls for VMs in accordance with NIST 800-53 and NIST 800-171."/>
        <s v="The Secure Platform shall provide a repository for structured data."/>
        <s v="The Secure Platform shall provide a repository for unstructured data."/>
        <s v="The Secure Platform shall integrate with manufacturing floor applications, IoT devices and other industrial systems."/>
        <m/>
      </sharedItems>
    </cacheField>
    <cacheField name="Capability"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3">
  <r>
    <s v="2.1.2-F5"/>
    <x v="0"/>
    <x v="0"/>
    <s v="IDE_1"/>
    <s v="Sec 3.3.3"/>
    <x v="0"/>
    <x v="0"/>
    <s v="Configure and deploy Integrated Digital Environment"/>
  </r>
  <r>
    <s v="2.1.2-F11"/>
    <x v="1"/>
    <x v="0"/>
    <s v="IDE_2"/>
    <s v="Sec 2.1.2, 3.3.3"/>
    <x v="0"/>
    <x v="1"/>
    <s v="User Management "/>
  </r>
  <r>
    <s v="2.1.2-F19"/>
    <x v="2"/>
    <x v="0"/>
    <s v="IDE_3"/>
    <s v="Sec 3.3.3"/>
    <x v="0"/>
    <x v="2"/>
    <s v="User Management "/>
  </r>
  <r>
    <s v="U.U.3-F2"/>
    <x v="3"/>
    <x v="0"/>
    <s v="IDE_4"/>
    <s v="Sec 5.1.2"/>
    <x v="1"/>
    <x v="3"/>
    <s v="Application Migration and Upgrade"/>
  </r>
  <r>
    <s v="U.U.3-M1"/>
    <x v="4"/>
    <x v="0"/>
    <s v="IDE_5"/>
    <s v="Sec 5.1.2"/>
    <x v="1"/>
    <x v="4"/>
    <s v="Application Migration and Upgrade"/>
  </r>
  <r>
    <s v="U.U.3-F4"/>
    <x v="5"/>
    <x v="0"/>
    <s v="IDE_6"/>
    <s v="Sec 5.1.2"/>
    <x v="0"/>
    <x v="5"/>
    <s v="Application Migration and Upgrade"/>
  </r>
  <r>
    <s v="U.U.3-F3"/>
    <x v="6"/>
    <x v="0"/>
    <s v="IDE_7"/>
    <s v="Sec 5.1.2"/>
    <x v="1"/>
    <x v="6"/>
    <s v="Application Migration and Upgrade"/>
  </r>
  <r>
    <s v="U.U.3-F1"/>
    <x v="7"/>
    <x v="0"/>
    <s v="IDE_8"/>
    <s v="Sec 5.1.2"/>
    <x v="1"/>
    <x v="7"/>
    <s v="Application Migration and Upgrade"/>
  </r>
  <r>
    <s v="1.1.1-F4"/>
    <x v="8"/>
    <x v="0"/>
    <s v="IDE_9"/>
    <s v="Sec 2.2"/>
    <x v="0"/>
    <x v="8"/>
    <s v="Application Migration and Upgrade"/>
  </r>
  <r>
    <s v="2.1.2-F5"/>
    <x v="0"/>
    <x v="0"/>
    <s v="IDE_10"/>
    <s v="Sec 3.3.3"/>
    <x v="0"/>
    <x v="9"/>
    <s v="Configuration Management"/>
  </r>
  <r>
    <s v="3.1.1-N5"/>
    <x v="9"/>
    <x v="0"/>
    <s v="IDE_11"/>
    <s v="Sec 2.1, 4.1"/>
    <x v="0"/>
    <x v="10"/>
    <s v="Configuration Management"/>
  </r>
  <r>
    <s v="2.1.2-F12"/>
    <x v="10"/>
    <x v="0"/>
    <s v="IDE_12"/>
    <s v="Sec 3.3.3"/>
    <x v="0"/>
    <x v="11"/>
    <s v="Configuration Management"/>
  </r>
  <r>
    <s v="2.1.2-F5"/>
    <x v="0"/>
    <x v="0"/>
    <s v="IDE_13"/>
    <s v="Sec 3.3.3"/>
    <x v="0"/>
    <x v="12"/>
    <s v="Configuration Management"/>
  </r>
  <r>
    <s v="3.1.1-N5"/>
    <x v="9"/>
    <x v="0"/>
    <s v="IDE_14"/>
    <s v="Sec 2.1, 4.1"/>
    <x v="0"/>
    <x v="13"/>
    <s v="Configuration Management"/>
  </r>
  <r>
    <s v="U.U.1-M1"/>
    <x v="11"/>
    <x v="0"/>
    <s v="IDE_15"/>
    <s v="Sec 2.4"/>
    <x v="1"/>
    <x v="14"/>
    <s v="Configuration Management"/>
  </r>
  <r>
    <s v="1.1.6-M1"/>
    <x v="12"/>
    <x v="0"/>
    <s v="IDE_16"/>
    <s v="Sec 2.2"/>
    <x v="1"/>
    <x v="15"/>
    <s v="Configuration Management"/>
  </r>
  <r>
    <s v="U.U.1-F1"/>
    <x v="13"/>
    <x v="0"/>
    <s v="IDE_17"/>
    <s v="Sec 2.4"/>
    <x v="0"/>
    <x v="16"/>
    <s v="Configure and deploy Integrated Digital Environment"/>
  </r>
  <r>
    <s v="2.1.2-F11"/>
    <x v="1"/>
    <x v="0"/>
    <s v="IDE_18"/>
    <s v="Sec 2.1.2, 3.3.3"/>
    <x v="0"/>
    <x v="17"/>
    <s v="Configure and deploy Integrated Digital Environment"/>
  </r>
  <r>
    <s v="U.U.1-M1"/>
    <x v="11"/>
    <x v="0"/>
    <s v="IDE_19"/>
    <s v="Sec 2.4"/>
    <x v="1"/>
    <x v="18"/>
    <s v="Configure and deploy Integrated Digital Environment"/>
  </r>
  <r>
    <s v="3.1.1-F2"/>
    <x v="14"/>
    <x v="0"/>
    <s v="IDE_20"/>
    <s v="Sec 2.1.2, 5.1.1"/>
    <x v="0"/>
    <x v="19"/>
    <s v="Configure and deploy Integrated Digital Environment"/>
  </r>
  <r>
    <s v="2.1.2-F2"/>
    <x v="15"/>
    <x v="0"/>
    <s v="IDE_21"/>
    <s v="Sec 3.3.3"/>
    <x v="0"/>
    <x v="20"/>
    <s v="Configure and deploy Integrated Digital Environment"/>
  </r>
  <r>
    <s v="3.1.1-N5"/>
    <x v="9"/>
    <x v="0"/>
    <s v="IDE_22"/>
    <s v="Sec 2.1, 4.1"/>
    <x v="0"/>
    <x v="21"/>
    <s v="Configure and deploy Integrated Digital Environment"/>
  </r>
  <r>
    <s v="2.1.2-F5"/>
    <x v="0"/>
    <x v="0"/>
    <s v="IDE_23"/>
    <s v="Sec 3.3.3"/>
    <x v="0"/>
    <x v="22"/>
    <s v="Data Management"/>
  </r>
  <r>
    <s v="3.1.1-P4"/>
    <x v="16"/>
    <x v="0"/>
    <s v="IDE_24"/>
    <s v="Sec 4.5"/>
    <x v="0"/>
    <x v="23"/>
    <s v="Data Management"/>
  </r>
  <r>
    <s v="3.1.1-F7"/>
    <x v="17"/>
    <x v="0"/>
    <s v="IDE_25"/>
    <s v="Sec 5.4.3"/>
    <x v="0"/>
    <x v="24"/>
    <s v="Data Management"/>
  </r>
  <r>
    <s v="2.1.2-F11"/>
    <x v="1"/>
    <x v="0"/>
    <s v="IDE_26"/>
    <s v="Sec 2.1.2, 3.3.3"/>
    <x v="0"/>
    <x v="25"/>
    <s v="Data Management"/>
  </r>
  <r>
    <s v="3.1.1-M5"/>
    <x v="18"/>
    <x v="0"/>
    <s v="IDE_27"/>
    <s v="Sec 2.1.2"/>
    <x v="0"/>
    <x v="26"/>
    <s v="Data Management"/>
  </r>
  <r>
    <s v="3.1.1-N5"/>
    <x v="9"/>
    <x v="0"/>
    <s v="IDE_28"/>
    <s v="Sec 2.1, 4.1"/>
    <x v="0"/>
    <x v="27"/>
    <s v="Data Management"/>
  </r>
  <r>
    <s v="2.1.2-F5"/>
    <x v="0"/>
    <x v="0"/>
    <s v="IDE_29"/>
    <s v="Sec 3.3.3"/>
    <x v="0"/>
    <x v="28"/>
    <s v="Data Management"/>
  </r>
  <r>
    <s v="3.1.1-N5"/>
    <x v="9"/>
    <x v="0"/>
    <s v="IDE_30"/>
    <s v="Sec 2.1, 4.1"/>
    <x v="0"/>
    <x v="29"/>
    <s v="User Management "/>
  </r>
  <r>
    <s v="3.1.1-M1"/>
    <x v="19"/>
    <x v="0"/>
    <s v="IDE_31"/>
    <s v="Sec 5.5"/>
    <x v="0"/>
    <x v="30"/>
    <s v="Destroy IDE"/>
  </r>
  <r>
    <s v="3.1.1-M4"/>
    <x v="20"/>
    <x v="0"/>
    <s v="IDE_32"/>
    <s v="Sec 5.5"/>
    <x v="0"/>
    <x v="31"/>
    <s v="Destroy IDE"/>
  </r>
  <r>
    <s v="3.1.1-M3"/>
    <x v="21"/>
    <x v="0"/>
    <s v="IDE_33"/>
    <s v="Sec 2.4.1, 5.5"/>
    <x v="1"/>
    <x v="32"/>
    <s v="Destroy IDE"/>
  </r>
  <r>
    <s v="3.1.1-M2"/>
    <x v="22"/>
    <x v="0"/>
    <s v="IDE_34"/>
    <s v="Sec 5.5"/>
    <x v="1"/>
    <x v="33"/>
    <s v="Destroy IDE"/>
  </r>
  <r>
    <s v="3.1.1-M1"/>
    <x v="19"/>
    <x v="0"/>
    <s v="IDE_35"/>
    <s v="Sec 5.5"/>
    <x v="1"/>
    <x v="34"/>
    <s v="Destroy IDE"/>
  </r>
  <r>
    <s v="1.1.1-F1"/>
    <x v="23"/>
    <x v="0"/>
    <s v="IDE_36"/>
    <s v="Sec 2.2"/>
    <x v="0"/>
    <x v="35"/>
    <s v="Digital Dashboards"/>
  </r>
  <r>
    <s v="2.1.2-M1"/>
    <x v="24"/>
    <x v="0"/>
    <s v="IDE_37"/>
    <s v="Sec 3.3.3"/>
    <x v="1"/>
    <x v="36"/>
    <s v="Digital Dashboards"/>
  </r>
  <r>
    <s v="2.1.2-F9"/>
    <x v="25"/>
    <x v="0"/>
    <s v="IDE_38"/>
    <s v="Sec 2.1.2, 3.3.3"/>
    <x v="0"/>
    <x v="37"/>
    <s v="Digital Dashboards"/>
  </r>
  <r>
    <s v="2.1.2-M2"/>
    <x v="26"/>
    <x v="0"/>
    <s v="IDE_39"/>
    <s v="Sec 3.3.3"/>
    <x v="1"/>
    <x v="38"/>
    <s v="Digital Dashboards"/>
  </r>
  <r>
    <s v="2.1.2-F2"/>
    <x v="15"/>
    <x v="0"/>
    <s v="IDE_40"/>
    <s v="Sec 3.3.3"/>
    <x v="0"/>
    <x v="39"/>
    <s v="Digital Dashboards"/>
  </r>
  <r>
    <s v="2.1.2-F1"/>
    <x v="27"/>
    <x v="0"/>
    <s v="IDE_41"/>
    <s v="Sec 2.1.2, 3.3.3"/>
    <x v="0"/>
    <x v="40"/>
    <s v="Digital Dashboards"/>
  </r>
  <r>
    <s v="2.1.2-F12"/>
    <x v="10"/>
    <x v="0"/>
    <s v="IDE_42"/>
    <s v="Sec 3.3.3"/>
    <x v="0"/>
    <x v="41"/>
    <s v="Digital Dashboards"/>
  </r>
  <r>
    <s v="2.1.2-F2"/>
    <x v="15"/>
    <x v="0"/>
    <s v="IDE_43"/>
    <s v="Sec 3.3.3"/>
    <x v="0"/>
    <x v="42"/>
    <s v="Digital Dashboards"/>
  </r>
  <r>
    <s v="3.1.1-F2"/>
    <x v="14"/>
    <x v="0"/>
    <s v="IDE_44"/>
    <s v="Sec 2.1.2, 5.1.1"/>
    <x v="0"/>
    <x v="43"/>
    <s v="Digital Dashboards"/>
  </r>
  <r>
    <s v="2.1.2-M3"/>
    <x v="28"/>
    <x v="0"/>
    <s v="IDE_45"/>
    <s v="Sec 3.3.3"/>
    <x v="1"/>
    <x v="44"/>
    <s v="Digital Dashboards"/>
  </r>
  <r>
    <s v="2.1.1-F1"/>
    <x v="29"/>
    <x v="0"/>
    <s v="IDE_46"/>
    <s v="Sec 2.2"/>
    <x v="0"/>
    <x v="45"/>
    <s v="Integrated Digital Engineering Ecosystem"/>
  </r>
  <r>
    <s v="3.1.1-M5"/>
    <x v="18"/>
    <x v="0"/>
    <s v="IDE_47"/>
    <s v="Sec 2.1.2"/>
    <x v="0"/>
    <x v="46"/>
    <s v="Integrated Digital Engineering Ecosystem"/>
  </r>
  <r>
    <s v="2.1.1-F3"/>
    <x v="30"/>
    <x v="0"/>
    <s v="IDE_48"/>
    <s v="Sec 2.3.1, 5.3.3"/>
    <x v="0"/>
    <x v="47"/>
    <s v="Integrated Digital Engineering Ecosystem"/>
  </r>
  <r>
    <s v="3.1.1-F9"/>
    <x v="31"/>
    <x v="0"/>
    <s v="IDE_49"/>
    <s v="Sec 2.2.1"/>
    <x v="0"/>
    <x v="48"/>
    <s v="Integrated Digital Engineering Ecosystem"/>
  </r>
  <r>
    <s v="2.1.1-F1"/>
    <x v="29"/>
    <x v="0"/>
    <s v="IDE_50"/>
    <s v="Sec 2.2"/>
    <x v="0"/>
    <x v="49"/>
    <s v="Integrated Digital Engineering Ecosystem"/>
  </r>
  <r>
    <s v="2.1.2-F10"/>
    <x v="32"/>
    <x v="0"/>
    <s v="IDE_51"/>
    <s v="Sec 2.1.2, 3.3.3"/>
    <x v="0"/>
    <x v="50"/>
    <s v="Integrated Digital Engineering Ecosystem"/>
  </r>
  <r>
    <s v="3.1.1-F8"/>
    <x v="33"/>
    <x v="0"/>
    <s v="IDE_52"/>
    <s v="Sec 2.2.1"/>
    <x v="1"/>
    <x v="51"/>
    <s v="Integrated Digital Engineering Ecosystem"/>
  </r>
  <r>
    <s v="1.1.1-F1"/>
    <x v="23"/>
    <x v="0"/>
    <s v="IDE_53"/>
    <s v="Sec 2.2"/>
    <x v="1"/>
    <x v="52"/>
    <s v="Integrated Digital Engineering Ecosystem"/>
  </r>
  <r>
    <s v="1.1.2-F1"/>
    <x v="34"/>
    <x v="0"/>
    <s v="IDE_54"/>
    <s v="Sec 2.2"/>
    <x v="1"/>
    <x v="53"/>
    <s v="Integrated Digital Engineering Ecosystem"/>
  </r>
  <r>
    <s v="1.1.3-F1"/>
    <x v="35"/>
    <x v="0"/>
    <s v="IDE_55"/>
    <s v="Sec 2.2"/>
    <x v="1"/>
    <x v="54"/>
    <s v="Integrated Digital Engineering Ecosystem"/>
  </r>
  <r>
    <s v="2.1.2-F11"/>
    <x v="1"/>
    <x v="0"/>
    <s v="IDE_56"/>
    <s v="Sec 2.1.2, 3.3.3"/>
    <x v="0"/>
    <x v="55"/>
    <s v="Logging and Monitoring"/>
  </r>
  <r>
    <s v="3.1.1-N5"/>
    <x v="9"/>
    <x v="0"/>
    <s v="IDE_57"/>
    <s v="Sec 2.1, 4.1"/>
    <x v="0"/>
    <x v="56"/>
    <s v="Logging and Monitoring"/>
  </r>
  <r>
    <s v="2.1.2-F2"/>
    <x v="15"/>
    <x v="0"/>
    <s v="IDE_58"/>
    <s v="Sec 3.3.3"/>
    <x v="0"/>
    <x v="57"/>
    <s v="Logging and Monitoring"/>
  </r>
  <r>
    <s v="2.1.2-F11"/>
    <x v="1"/>
    <x v="0"/>
    <s v="IDE_59"/>
    <s v="Sec 2.1.2, 3.3.3"/>
    <x v="0"/>
    <x v="58"/>
    <s v="Logging and Monitoring"/>
  </r>
  <r>
    <s v="2.1.2-F10"/>
    <x v="32"/>
    <x v="0"/>
    <s v="IDE_60"/>
    <s v="Sec 2.1.2, 3.3.3"/>
    <x v="0"/>
    <x v="59"/>
    <s v="Logging and Monitoring"/>
  </r>
  <r>
    <s v="2.1.2-F1"/>
    <x v="27"/>
    <x v="0"/>
    <s v="IDE_61"/>
    <s v="Sec 2.1.2, 3.3.3"/>
    <x v="0"/>
    <x v="60"/>
    <s v="Logging and Monitoring"/>
  </r>
  <r>
    <s v="3.1.1-N5"/>
    <x v="9"/>
    <x v="0"/>
    <s v="IDE_62"/>
    <s v="Sec 2.1, 4.1"/>
    <x v="0"/>
    <x v="61"/>
    <s v="Logging and Monitoring"/>
  </r>
  <r>
    <s v="2.1.2-F11"/>
    <x v="1"/>
    <x v="0"/>
    <s v="IDE_63"/>
    <s v="Sec 2.1.2, 3.3.3"/>
    <x v="0"/>
    <x v="62"/>
    <s v="Logging and Monitoring"/>
  </r>
  <r>
    <s v="2.1.2-F2"/>
    <x v="15"/>
    <x v="0"/>
    <s v="IDE_64"/>
    <s v="Sec 3.3.3"/>
    <x v="0"/>
    <x v="63"/>
    <s v="Maintenance and Operational State Management"/>
  </r>
  <r>
    <s v="2.1.2-F9"/>
    <x v="25"/>
    <x v="0"/>
    <s v="IDE_65"/>
    <s v="Sec 2.1.2, 3.3.3"/>
    <x v="0"/>
    <x v="64"/>
    <s v="Maintenance and Operational State Management"/>
  </r>
  <r>
    <s v="3.1.1-N5"/>
    <x v="9"/>
    <x v="0"/>
    <s v="IDE_66"/>
    <s v="Sec 2.1, 4.1"/>
    <x v="0"/>
    <x v="65"/>
    <s v="Maintenance and Operational State Management"/>
  </r>
  <r>
    <s v="2.1.2-F2"/>
    <x v="15"/>
    <x v="0"/>
    <s v="IDE_67"/>
    <s v="Sec 3.3.3"/>
    <x v="0"/>
    <x v="66"/>
    <s v="Maintenance and Operational State Management"/>
  </r>
  <r>
    <s v="2.1.2-F6"/>
    <x v="36"/>
    <x v="0"/>
    <s v="IDE_68"/>
    <s v="Sec 3.3.3"/>
    <x v="1"/>
    <x v="67"/>
    <s v="User Management "/>
  </r>
  <r>
    <s v="3.1.1-F2"/>
    <x v="14"/>
    <x v="0"/>
    <s v="IDE_69"/>
    <s v="Sec 2.1.2, 5.1.1"/>
    <x v="0"/>
    <x v="68"/>
    <s v="Multi-Factor Authentication"/>
  </r>
  <r>
    <s v="3.1.1-F2"/>
    <x v="14"/>
    <x v="0"/>
    <s v="IDE_70"/>
    <s v="Sec 2.1.2, 5.1.1"/>
    <x v="0"/>
    <x v="69"/>
    <s v="Multi-Factor Authentication"/>
  </r>
  <r>
    <s v="3.1.1-F2"/>
    <x v="14"/>
    <x v="0"/>
    <s v="IDE_71"/>
    <s v="Sec 2.1.2, 5.1.1"/>
    <x v="0"/>
    <x v="70"/>
    <s v="Multi-Factor Authentication"/>
  </r>
  <r>
    <s v="3.1.1-F2"/>
    <x v="14"/>
    <x v="0"/>
    <s v="IDE_72"/>
    <s v="Sec 2.1.2, 5.1.1"/>
    <x v="0"/>
    <x v="71"/>
    <s v="Modern Authentication Protocols"/>
  </r>
  <r>
    <s v="3.1.1-F2"/>
    <x v="14"/>
    <x v="0"/>
    <s v="IDE_73"/>
    <s v="Sec 2.1.2, 5.1.1"/>
    <x v="0"/>
    <x v="72"/>
    <s v="Modern Authentication Protocols"/>
  </r>
  <r>
    <s v="3.1.1-P2"/>
    <x v="37"/>
    <x v="0"/>
    <s v="IDE_74"/>
    <s v="Sec 1.2, 4.5, 5.2.2"/>
    <x v="0"/>
    <x v="73"/>
    <s v="Maintenance and Operational State Management"/>
  </r>
  <r>
    <s v="2.1.2-F5"/>
    <x v="0"/>
    <x v="0"/>
    <s v="IDE_75"/>
    <s v="Sec 3.3.3"/>
    <x v="0"/>
    <x v="74"/>
    <s v="Maintenance and Operational State Management"/>
  </r>
  <r>
    <s v="3.1.1-N5"/>
    <x v="9"/>
    <x v="0"/>
    <s v="IDE_76"/>
    <s v="Sec 2.1, 4.1"/>
    <x v="0"/>
    <x v="75"/>
    <s v="Configure and deploy Integrated Digital Environment"/>
  </r>
  <r>
    <s v="2.1.2-F5"/>
    <x v="0"/>
    <x v="0"/>
    <s v="IDE_77"/>
    <s v="Sec 3.3.3"/>
    <x v="0"/>
    <x v="76"/>
    <s v="Performance Optimization"/>
  </r>
  <r>
    <s v="3.1.1-P3"/>
    <x v="38"/>
    <x v="0"/>
    <s v="IDE_78"/>
    <s v="Sec 4.5"/>
    <x v="0"/>
    <x v="77"/>
    <s v="Performance Optimization"/>
  </r>
  <r>
    <s v="2.1.2-F12"/>
    <x v="10"/>
    <x v="0"/>
    <s v="IDE_79"/>
    <s v="Sec 3.3.3"/>
    <x v="0"/>
    <x v="78"/>
    <s v="Performance Optimization"/>
  </r>
  <r>
    <s v="2.1.2-F12"/>
    <x v="10"/>
    <x v="0"/>
    <s v="IDE_80"/>
    <s v="Sec 3.3.3"/>
    <x v="0"/>
    <x v="79"/>
    <s v="Performance Optimization"/>
  </r>
  <r>
    <s v="3.1.1-N5"/>
    <x v="9"/>
    <x v="0"/>
    <s v="IDE_81"/>
    <s v="Sec 2.1, 4.1"/>
    <x v="0"/>
    <x v="80"/>
    <s v="Performance Optimization"/>
  </r>
  <r>
    <s v="2.1.2-F12"/>
    <x v="10"/>
    <x v="0"/>
    <s v="IDE_82"/>
    <s v="Sec 3.3.3"/>
    <x v="0"/>
    <x v="81"/>
    <s v="Performance Optimization"/>
  </r>
  <r>
    <s v="1.1.1-F1"/>
    <x v="23"/>
    <x v="0"/>
    <s v="IDE_83"/>
    <s v="Sec 2.2"/>
    <x v="0"/>
    <x v="82"/>
    <s v="Provide Work Instructions"/>
  </r>
  <r>
    <s v="2.1.2-F18"/>
    <x v="39"/>
    <x v="0"/>
    <s v="IDE_84"/>
    <s v="Sec 3.3.3"/>
    <x v="0"/>
    <x v="83"/>
    <s v="User Management "/>
  </r>
  <r>
    <s v="3.1.1-F2"/>
    <x v="14"/>
    <x v="0"/>
    <s v="IDE_85"/>
    <s v="Sec 2.1.2, 5.1.1"/>
    <x v="0"/>
    <x v="84"/>
    <s v="User Management "/>
  </r>
  <r>
    <s v="2.1.2-F6"/>
    <x v="36"/>
    <x v="0"/>
    <s v="IDE_86"/>
    <s v="Sec 3.3.3"/>
    <x v="0"/>
    <x v="85"/>
    <s v="User Management "/>
  </r>
  <r>
    <s v="2.2.1-N3"/>
    <x v="40"/>
    <x v="0"/>
    <s v="IDE_87"/>
    <s v="Sec 3.2.1"/>
    <x v="0"/>
    <x v="86"/>
    <s v="None"/>
  </r>
  <r>
    <s v="1.1.3-F8"/>
    <x v="41"/>
    <x v="0"/>
    <s v="IDE_88"/>
    <s v="Sec 2.2"/>
    <x v="0"/>
    <x v="87"/>
    <s v="None"/>
  </r>
  <r>
    <s v="2.1.2-F5"/>
    <x v="0"/>
    <x v="0"/>
    <s v="IDE_89"/>
    <s v="Sec 3.3.3"/>
    <x v="0"/>
    <x v="88"/>
    <s v="None"/>
  </r>
  <r>
    <s v="3.1.1-N5"/>
    <x v="9"/>
    <x v="0"/>
    <s v="IDE_90"/>
    <s v="Sec 2.1, 4.1"/>
    <x v="0"/>
    <x v="89"/>
    <s v="None"/>
  </r>
  <r>
    <s v="2.1.2-F5"/>
    <x v="0"/>
    <x v="0"/>
    <s v="IDE_91"/>
    <s v="Sec 3.3.3"/>
    <x v="0"/>
    <x v="90"/>
    <s v="None"/>
  </r>
  <r>
    <s v="2.1.2-F11"/>
    <x v="1"/>
    <x v="0"/>
    <s v="IDE_92"/>
    <s v="Sec 2.1.2, 3.3.3"/>
    <x v="0"/>
    <x v="91"/>
    <s v="None"/>
  </r>
  <r>
    <s v="1.1.3-F8"/>
    <x v="41"/>
    <x v="0"/>
    <s v="IDE_93"/>
    <s v="Sec 2.2"/>
    <x v="0"/>
    <x v="92"/>
    <s v="None"/>
  </r>
  <r>
    <s v="3.1.1-N5"/>
    <x v="9"/>
    <x v="0"/>
    <s v="IDE_94"/>
    <s v="Sec 2.1, 4.1"/>
    <x v="0"/>
    <x v="93"/>
    <s v="None"/>
  </r>
  <r>
    <s v="3.1.1-N5"/>
    <x v="9"/>
    <x v="0"/>
    <s v="IDE_95"/>
    <s v="Sec 2.1, 4.1"/>
    <x v="0"/>
    <x v="94"/>
    <s v="None"/>
  </r>
  <r>
    <s v="3.1.1-P6"/>
    <x v="42"/>
    <x v="0"/>
    <s v="IDE_96"/>
    <s v="Sec 4.5, 5.2.2"/>
    <x v="0"/>
    <x v="95"/>
    <s v="None"/>
  </r>
  <r>
    <s v="3.1.1-N16"/>
    <x v="43"/>
    <x v="0"/>
    <s v="IDE_97"/>
    <s v="Sec 2.1, 4.1"/>
    <x v="0"/>
    <x v="96"/>
    <s v="None"/>
  </r>
  <r>
    <s v="2.1.2-F11"/>
    <x v="1"/>
    <x v="0"/>
    <s v="IDE_98"/>
    <s v="Sec 2.1.2, 3.3.3"/>
    <x v="0"/>
    <x v="97"/>
    <s v="None"/>
  </r>
  <r>
    <s v="3.1.1-N16"/>
    <x v="43"/>
    <x v="0"/>
    <s v="IDE_99"/>
    <s v="Sec 2.1, 4.1"/>
    <x v="0"/>
    <x v="98"/>
    <s v="None"/>
  </r>
  <r>
    <s v="3.1.1-F2"/>
    <x v="14"/>
    <x v="0"/>
    <s v="IDE_100"/>
    <s v="Sec 2.1.2, 5.1.1"/>
    <x v="0"/>
    <x v="99"/>
    <s v="None"/>
  </r>
  <r>
    <s v="3.1.1-F2"/>
    <x v="14"/>
    <x v="0"/>
    <s v="IDE_101"/>
    <s v="Sec 2.1.2, 5.1.1"/>
    <x v="0"/>
    <x v="100"/>
    <s v="None"/>
  </r>
  <r>
    <s v="2.1.2-F19"/>
    <x v="2"/>
    <x v="0"/>
    <s v="IDE_102"/>
    <s v="Sec 3.3.3"/>
    <x v="0"/>
    <x v="101"/>
    <s v="None"/>
  </r>
  <r>
    <s v="3.1.1-N8"/>
    <x v="44"/>
    <x v="0"/>
    <s v="IDE_103"/>
    <s v="Sec 2.1, 3.1.3"/>
    <x v="0"/>
    <x v="102"/>
    <s v="None"/>
  </r>
  <r>
    <s v="3.1.1-N13"/>
    <x v="45"/>
    <x v="0"/>
    <s v="IDE_104"/>
    <s v="Sec 2.4.1, 4.3.1"/>
    <x v="0"/>
    <x v="103"/>
    <s v="None"/>
  </r>
  <r>
    <s v="3.1.1-F10"/>
    <x v="46"/>
    <x v="0"/>
    <s v="IDE_105"/>
    <s v="Sec 2.2.1"/>
    <x v="0"/>
    <x v="104"/>
    <s v="None"/>
  </r>
  <r>
    <s v="3.1.1-N5"/>
    <x v="9"/>
    <x v="0"/>
    <s v="IDE_106"/>
    <s v="Sec 2.1, 4.1"/>
    <x v="0"/>
    <x v="105"/>
    <s v="None"/>
  </r>
  <r>
    <s v="3.1.1-N1"/>
    <x v="47"/>
    <x v="0"/>
    <s v="IDE_107"/>
    <s v="Sec 2.0, 2.5"/>
    <x v="0"/>
    <x v="106"/>
    <s v="None"/>
  </r>
  <r>
    <s v="3.1.1-N10"/>
    <x v="48"/>
    <x v="0"/>
    <s v="IDE_108"/>
    <s v="Sec 2.1.2"/>
    <x v="0"/>
    <x v="107"/>
    <s v="None"/>
  </r>
  <r>
    <s v="2.1.2-F11"/>
    <x v="1"/>
    <x v="0"/>
    <s v="IDE_109"/>
    <s v="Sec 2.1.2, 3.3.3"/>
    <x v="0"/>
    <x v="108"/>
    <s v="None"/>
  </r>
  <r>
    <s v="3.1.1-N5"/>
    <x v="9"/>
    <x v="0"/>
    <s v="IDE_110"/>
    <s v="Sec 2.1, 4.1"/>
    <x v="0"/>
    <x v="109"/>
    <s v="None"/>
  </r>
  <r>
    <s v="3.1.1-N5"/>
    <x v="9"/>
    <x v="0"/>
    <s v="IDE_111"/>
    <s v="Sec 2.1, 4.1"/>
    <x v="0"/>
    <x v="110"/>
    <s v="None"/>
  </r>
  <r>
    <s v="2.1.2-F11"/>
    <x v="1"/>
    <x v="0"/>
    <s v="IDE_112"/>
    <s v="Sec 2.1.2, 3.3.3"/>
    <x v="0"/>
    <x v="111"/>
    <s v="None"/>
  </r>
  <r>
    <s v="1.1.3-F8"/>
    <x v="41"/>
    <x v="0"/>
    <s v="IDE_113"/>
    <s v="Sec 2.2"/>
    <x v="0"/>
    <x v="112"/>
    <s v="None"/>
  </r>
  <r>
    <s v="3.1.1-N5"/>
    <x v="9"/>
    <x v="0"/>
    <s v="IDE_114"/>
    <s v="Sec 2.1, 4.1"/>
    <x v="0"/>
    <x v="113"/>
    <s v="None"/>
  </r>
  <r>
    <s v="1.1.3-F7"/>
    <x v="49"/>
    <x v="0"/>
    <s v="IDE_115"/>
    <s v="Sec 2.2"/>
    <x v="0"/>
    <x v="114"/>
    <s v="None"/>
  </r>
  <r>
    <s v="2.1.2-F6"/>
    <x v="36"/>
    <x v="0"/>
    <s v="IDE_116"/>
    <s v="Sec 3.3.3"/>
    <x v="0"/>
    <x v="115"/>
    <s v="None"/>
  </r>
  <r>
    <s v="2.1.2-F11"/>
    <x v="1"/>
    <x v="0"/>
    <s v="IDE_117"/>
    <s v="Sec 2.1.2, 3.3.3"/>
    <x v="0"/>
    <x v="116"/>
    <s v="None"/>
  </r>
  <r>
    <s v="2.1.2-F11"/>
    <x v="1"/>
    <x v="0"/>
    <s v="IDE_118"/>
    <s v="Sec 2.1.2, 3.3.3"/>
    <x v="0"/>
    <x v="117"/>
    <s v="None"/>
  </r>
  <r>
    <s v="2.1.2-F11"/>
    <x v="1"/>
    <x v="0"/>
    <s v="IDE_119"/>
    <s v="Sec 2.1.2, 3.3.3"/>
    <x v="0"/>
    <x v="118"/>
    <s v="None"/>
  </r>
  <r>
    <s v="2.1.2-F11"/>
    <x v="1"/>
    <x v="0"/>
    <s v="IDE_120"/>
    <s v="Sec 2.1.2, 3.3.3"/>
    <x v="0"/>
    <x v="119"/>
    <s v="None"/>
  </r>
  <r>
    <s v="3.1.1-N16"/>
    <x v="43"/>
    <x v="0"/>
    <s v="IDE_121"/>
    <s v="Sec 2.1, 4.1"/>
    <x v="0"/>
    <x v="120"/>
    <s v="None"/>
  </r>
  <r>
    <s v="3.1.1-N13"/>
    <x v="45"/>
    <x v="0"/>
    <s v="IDE_122"/>
    <s v="Sec 2.4.1, 4.3.1"/>
    <x v="0"/>
    <x v="121"/>
    <s v="None"/>
  </r>
  <r>
    <s v="3.1.1-N13"/>
    <x v="45"/>
    <x v="0"/>
    <s v="IDE_123"/>
    <s v="Sec 2.4.1, 4.3.1"/>
    <x v="0"/>
    <x v="122"/>
    <s v="None"/>
  </r>
  <r>
    <s v="3.1.1-N13"/>
    <x v="45"/>
    <x v="0"/>
    <s v="IDE_124"/>
    <s v="Sec 2.4.1, 4.3.1"/>
    <x v="0"/>
    <x v="123"/>
    <s v="None"/>
  </r>
  <r>
    <s v="1.1.3-F7"/>
    <x v="49"/>
    <x v="0"/>
    <s v="IDE_125"/>
    <s v="Sec 2.2"/>
    <x v="0"/>
    <x v="124"/>
    <s v="None"/>
  </r>
  <r>
    <s v="3.1.1-N5"/>
    <x v="9"/>
    <x v="0"/>
    <s v="IDE_126"/>
    <s v="Sec 2.1, 4.1"/>
    <x v="0"/>
    <x v="125"/>
    <s v="None"/>
  </r>
  <r>
    <s v="3.1.1-N14"/>
    <x v="50"/>
    <x v="0"/>
    <s v="IDE_127"/>
    <s v="Sec 2.1, 4.1"/>
    <x v="0"/>
    <x v="126"/>
    <s v="None"/>
  </r>
  <r>
    <s v="3.1.1-N8"/>
    <x v="44"/>
    <x v="0"/>
    <s v="IDE_128"/>
    <s v="Sec 2.1, 3.1.3"/>
    <x v="0"/>
    <x v="127"/>
    <s v="None"/>
  </r>
  <r>
    <s v="3.1.1-N8"/>
    <x v="44"/>
    <x v="0"/>
    <s v="IDE_129"/>
    <s v="Sec 2.1, 3.1.3"/>
    <x v="0"/>
    <x v="128"/>
    <s v="None"/>
  </r>
  <r>
    <s v="3.1.1-P6"/>
    <x v="42"/>
    <x v="0"/>
    <s v="IDE_130"/>
    <s v="Sec 4.5, 5.2.2"/>
    <x v="0"/>
    <x v="129"/>
    <s v="None"/>
  </r>
  <r>
    <s v="2.2.1-N3"/>
    <x v="40"/>
    <x v="0"/>
    <s v="IDE_131"/>
    <s v="Sec 3.2.1"/>
    <x v="0"/>
    <x v="130"/>
    <s v="None"/>
  </r>
  <r>
    <s v="3.1.1-F2"/>
    <x v="14"/>
    <x v="0"/>
    <s v="IDE_132"/>
    <s v="Sec 2.1.2, 5.1.1"/>
    <x v="0"/>
    <x v="131"/>
    <s v="None"/>
  </r>
  <r>
    <s v="2.1.2-F6"/>
    <x v="36"/>
    <x v="0"/>
    <s v="IDE_133"/>
    <s v="Sec 3.3.3"/>
    <x v="0"/>
    <x v="132"/>
    <s v="None"/>
  </r>
  <r>
    <s v="3.1.1-F2"/>
    <x v="14"/>
    <x v="0"/>
    <s v="IDE_134"/>
    <s v="Sec 2.1.2, 5.1.1"/>
    <x v="0"/>
    <x v="133"/>
    <s v="None"/>
  </r>
  <r>
    <s v="3.1.1-N5"/>
    <x v="9"/>
    <x v="0"/>
    <s v="IDE_135"/>
    <s v="Sec 2.1, 4.1"/>
    <x v="0"/>
    <x v="134"/>
    <s v="None"/>
  </r>
  <r>
    <s v="3.1.1-F2"/>
    <x v="14"/>
    <x v="0"/>
    <s v="IDE_136"/>
    <s v="Sec 2.1.2, 5.1.1"/>
    <x v="0"/>
    <x v="135"/>
    <s v="None"/>
  </r>
  <r>
    <s v="3.1.1-F15"/>
    <x v="51"/>
    <x v="0"/>
    <s v="IDE_137"/>
    <s v="Sec 2.1.2"/>
    <x v="0"/>
    <x v="136"/>
    <s v="None"/>
  </r>
  <r>
    <s v="2.1.2-F18"/>
    <x v="39"/>
    <x v="0"/>
    <s v="IDE_138"/>
    <s v="Sec 3.3.3"/>
    <x v="0"/>
    <x v="137"/>
    <s v="None"/>
  </r>
  <r>
    <s v="3.1.1-N5"/>
    <x v="9"/>
    <x v="0"/>
    <s v="IDE_139"/>
    <s v="Sec 2.1, 4.1"/>
    <x v="0"/>
    <x v="138"/>
    <s v="None"/>
  </r>
  <r>
    <s v="2.1.2-F19"/>
    <x v="2"/>
    <x v="0"/>
    <s v="IDE_140"/>
    <s v="Sec 3.3.3"/>
    <x v="0"/>
    <x v="139"/>
    <s v="None"/>
  </r>
  <r>
    <s v="3.1.1-N5"/>
    <x v="9"/>
    <x v="0"/>
    <s v="IDE_141"/>
    <s v="Sec 2.1, 4.1"/>
    <x v="0"/>
    <x v="140"/>
    <s v="None"/>
  </r>
  <r>
    <s v="2.1.2-F5"/>
    <x v="0"/>
    <x v="0"/>
    <s v="IDE_142"/>
    <s v="Sec 3.3.3"/>
    <x v="0"/>
    <x v="141"/>
    <s v="None"/>
  </r>
  <r>
    <s v="3.1.1-P6"/>
    <x v="42"/>
    <x v="0"/>
    <s v="IDE_143"/>
    <s v="Sec 4.5, 5.2.2"/>
    <x v="0"/>
    <x v="142"/>
    <s v="None"/>
  </r>
  <r>
    <s v="3.1.1-F15"/>
    <x v="51"/>
    <x v="0"/>
    <s v="IDE_144"/>
    <s v="Sec 2.1.2"/>
    <x v="0"/>
    <x v="143"/>
    <s v="None"/>
  </r>
  <r>
    <s v="3.1.1-N1"/>
    <x v="47"/>
    <x v="0"/>
    <s v="IDE_145"/>
    <s v="Sec 2.0, 2.5"/>
    <x v="0"/>
    <x v="144"/>
    <s v="None"/>
  </r>
  <r>
    <s v="1.1.3-F8"/>
    <x v="41"/>
    <x v="0"/>
    <s v="IDE_146"/>
    <s v="Sec 2.2"/>
    <x v="0"/>
    <x v="145"/>
    <s v="None"/>
  </r>
  <r>
    <s v="3.1.1-N5"/>
    <x v="9"/>
    <x v="0"/>
    <s v="IDE_147"/>
    <s v="Sec 2.1, 4.1"/>
    <x v="0"/>
    <x v="146"/>
    <s v="None"/>
  </r>
  <r>
    <s v="3.1.1-N6"/>
    <x v="52"/>
    <x v="0"/>
    <s v="IDE_148"/>
    <s v="Sec 4.2, 4.2.1"/>
    <x v="0"/>
    <x v="147"/>
    <s v="None"/>
  </r>
  <r>
    <s v="3.1.1-N6"/>
    <x v="52"/>
    <x v="0"/>
    <s v="IDE_149"/>
    <s v="Sec 4.2, 4.2.1"/>
    <x v="0"/>
    <x v="148"/>
    <s v="None"/>
  </r>
  <r>
    <s v="2.1.2-F18"/>
    <x v="39"/>
    <x v="0"/>
    <s v="IDE_150"/>
    <s v="Sec 3.3.3"/>
    <x v="0"/>
    <x v="149"/>
    <s v="None"/>
  </r>
  <r>
    <s v="2.1.2-F5"/>
    <x v="0"/>
    <x v="0"/>
    <s v="IDE_151"/>
    <s v="Sec 3.3.3"/>
    <x v="0"/>
    <x v="150"/>
    <s v="None"/>
  </r>
  <r>
    <s v="3.1.1-P2"/>
    <x v="37"/>
    <x v="0"/>
    <s v="IDE_152"/>
    <s v="Sec 1.2, 4.5, 5.2.2"/>
    <x v="0"/>
    <x v="151"/>
    <s v="None"/>
  </r>
  <r>
    <s v="2.1.2-F6"/>
    <x v="36"/>
    <x v="0"/>
    <s v="IDE_153"/>
    <s v="Sec 3.3.3"/>
    <x v="0"/>
    <x v="152"/>
    <s v="None"/>
  </r>
  <r>
    <s v="2.1.2-F18"/>
    <x v="39"/>
    <x v="0"/>
    <s v="IDE_154"/>
    <s v="Sec 3.3.3"/>
    <x v="0"/>
    <x v="153"/>
    <s v="None"/>
  </r>
  <r>
    <s v="2.1.2-F6"/>
    <x v="36"/>
    <x v="1"/>
    <n v="2"/>
    <s v="Sec 3.3.3"/>
    <x v="0"/>
    <x v="154"/>
    <s v="Access Control,Deploy Ingress"/>
  </r>
  <r>
    <s v="2.1.2-F2"/>
    <x v="15"/>
    <x v="1"/>
    <n v="3"/>
    <s v="Sec 3.3.3"/>
    <x v="0"/>
    <x v="155"/>
    <s v="Provide Centralized Logging and Monitoring"/>
  </r>
  <r>
    <s v="3.1.1-F1"/>
    <x v="53"/>
    <x v="1"/>
    <n v="4"/>
    <s v="Sec 2.1.1"/>
    <x v="0"/>
    <x v="156"/>
    <s v="Provide Containerization and Microservices Management"/>
  </r>
  <r>
    <s v="2.1.2-F10"/>
    <x v="32"/>
    <x v="1"/>
    <n v="5"/>
    <s v="Sec 2.1.2, 3.3.3"/>
    <x v="0"/>
    <x v="157"/>
    <s v="Provide Centralized Logging and Monitoring"/>
  </r>
  <r>
    <s v="2.1.2-F1"/>
    <x v="27"/>
    <x v="1"/>
    <n v="6"/>
    <s v="Sec 2.1.2, 3.3.3"/>
    <x v="0"/>
    <x v="158"/>
    <s v="Automated Retrieval"/>
  </r>
  <r>
    <s v="3.1.1-F11"/>
    <x v="54"/>
    <x v="1"/>
    <n v="7"/>
    <s v="Sec 2.1.2"/>
    <x v="0"/>
    <x v="159"/>
    <s v="Conduct Compliance and Security Checks"/>
  </r>
  <r>
    <s v="3.1.1-N10"/>
    <x v="48"/>
    <x v="1"/>
    <n v="8"/>
    <s v="Sec 2.1.2"/>
    <x v="0"/>
    <x v="160"/>
    <s v="None"/>
  </r>
  <r>
    <s v="1.1.3-F6"/>
    <x v="55"/>
    <x v="1"/>
    <n v="9"/>
    <s v="Sec 2.2"/>
    <x v="0"/>
    <x v="161"/>
    <s v="Establish Automated CI/CD Pipeline(s)"/>
  </r>
  <r>
    <s v="3.1.1-F6"/>
    <x v="56"/>
    <x v="1"/>
    <n v="10"/>
    <s v="Sec 2.1.2"/>
    <x v="0"/>
    <x v="162"/>
    <s v="Backup and Recovery"/>
  </r>
  <r>
    <s v="3.1.1-F6"/>
    <x v="56"/>
    <x v="1"/>
    <n v="11"/>
    <s v="Sec 2.1.2"/>
    <x v="0"/>
    <x v="163"/>
    <s v="Backup and Recovery Operator Deployment"/>
  </r>
  <r>
    <s v="3.1.1-F5"/>
    <x v="57"/>
    <x v="1"/>
    <n v="12"/>
    <s v="Sec 2.1.2"/>
    <x v="0"/>
    <x v="164"/>
    <s v="Implement Service Discovery"/>
  </r>
  <r>
    <s v="3.1.1-F5"/>
    <x v="57"/>
    <x v="1"/>
    <n v="13"/>
    <s v="Sec 2.1.2"/>
    <x v="0"/>
    <x v="165"/>
    <s v="None"/>
  </r>
  <r>
    <s v="3.1.1-F17"/>
    <x v="58"/>
    <x v="1"/>
    <n v="14"/>
    <s v="Sec 2.1.2"/>
    <x v="0"/>
    <x v="166"/>
    <s v="Conduct Compliance and Security Checks,Rotate Secrets"/>
  </r>
  <r>
    <s v="3.1.1-F7"/>
    <x v="17"/>
    <x v="1"/>
    <n v="15"/>
    <s v="Sec 5.4.3"/>
    <x v="0"/>
    <x v="167"/>
    <s v="Disaster Recovery"/>
  </r>
  <r>
    <s v="2.1.2-F9"/>
    <x v="25"/>
    <x v="1"/>
    <n v="16"/>
    <s v="Sec 2.1.2, 3.3.3"/>
    <x v="0"/>
    <x v="168"/>
    <s v="Provide Centralized Logging and Monitoring"/>
  </r>
  <r>
    <s v="U.U.2-F5"/>
    <x v="59"/>
    <x v="1"/>
    <n v="17"/>
    <s v="Sec 2.4.1"/>
    <x v="0"/>
    <x v="169"/>
    <s v="Backup and Recovery,Define Backup Policy (Application Config),Define Backup Policy (Cluster Config)"/>
  </r>
  <r>
    <s v="3.1.1-F6"/>
    <x v="56"/>
    <x v="1"/>
    <n v="18"/>
    <s v="Sec 2.1.2"/>
    <x v="0"/>
    <x v="170"/>
    <s v="Backup and Recovery,Backup and Recovery Operator Deployment"/>
  </r>
  <r>
    <s v="3.1.1-F7"/>
    <x v="17"/>
    <x v="1"/>
    <n v="19"/>
    <s v="Sec 5.4.3"/>
    <x v="0"/>
    <x v="171"/>
    <s v="Backup and Recovery"/>
  </r>
  <r>
    <s v="2.1.2-F5"/>
    <x v="0"/>
    <x v="1"/>
    <n v="20"/>
    <s v="Sec 3.3.3"/>
    <x v="0"/>
    <x v="172"/>
    <s v="Backup and Recovery"/>
  </r>
  <r>
    <s v="2.1.2-F8"/>
    <x v="60"/>
    <x v="1"/>
    <n v="21"/>
    <s v="Sec 2.1.2, 3.3.3"/>
    <x v="0"/>
    <x v="173"/>
    <s v="Provide Centralized Logging and Monitoring"/>
  </r>
  <r>
    <s v="2.1.2-F1"/>
    <x v="27"/>
    <x v="1"/>
    <n v="22"/>
    <s v="Sec 2.1.2, 3.3.3"/>
    <x v="0"/>
    <x v="174"/>
    <s v="Provide Centralized Logging and Monitoring"/>
  </r>
  <r>
    <s v="1.1.3-F6"/>
    <x v="55"/>
    <x v="1"/>
    <n v="23"/>
    <s v="Sec 2.2"/>
    <x v="0"/>
    <x v="175"/>
    <s v="Provide Centralized Logging and Monitoring"/>
  </r>
  <r>
    <s v="2.1.2-F2"/>
    <x v="15"/>
    <x v="1"/>
    <n v="24"/>
    <s v="Sec 3.3.3"/>
    <x v="0"/>
    <x v="176"/>
    <s v="Automated Continuous Integration and Continuous Delivery (CI/CD),Establish Automated CI/CD Pipeline(s)"/>
  </r>
  <r>
    <s v="2.1.2-F2"/>
    <x v="15"/>
    <x v="1"/>
    <n v="25"/>
    <s v="Sec 3.3.3"/>
    <x v="0"/>
    <x v="177"/>
    <s v="Establish Automated CI/CD Pipeline(s)"/>
  </r>
  <r>
    <s v="1.1.3-F8"/>
    <x v="41"/>
    <x v="1"/>
    <n v="26"/>
    <s v="Sec 2.2"/>
    <x v="0"/>
    <x v="178"/>
    <s v="Establish Automated CI/CD Pipeline(s)"/>
  </r>
  <r>
    <s v="3.1.1-N14"/>
    <x v="50"/>
    <x v="1"/>
    <n v="27"/>
    <s v="Sec 2.1, 4.1"/>
    <x v="0"/>
    <x v="179"/>
    <s v="Perform Configuration Management"/>
  </r>
  <r>
    <s v="3.1.1-F3"/>
    <x v="61"/>
    <x v="1"/>
    <n v="28"/>
    <s v="Sec 2.1.2"/>
    <x v="0"/>
    <x v="180"/>
    <s v="Perform Configuration Management"/>
  </r>
  <r>
    <s v="3.1.1-F3"/>
    <x v="61"/>
    <x v="1"/>
    <n v="29"/>
    <s v="Sec 2.1.2"/>
    <x v="0"/>
    <x v="181"/>
    <s v="None"/>
  </r>
  <r>
    <s v="2.1.2-F11"/>
    <x v="1"/>
    <x v="1"/>
    <n v="30"/>
    <s v="Sec 2.1.2, 3.3.3"/>
    <x v="0"/>
    <x v="182"/>
    <s v="None"/>
  </r>
  <r>
    <s v="2.1.2-F11"/>
    <x v="1"/>
    <x v="1"/>
    <n v="31"/>
    <s v="Sec 2.1.2, 3.3.3"/>
    <x v="0"/>
    <x v="183"/>
    <s v="None"/>
  </r>
  <r>
    <s v="2.1.2-F2"/>
    <x v="15"/>
    <x v="1"/>
    <n v="32"/>
    <s v="Sec 3.3.3"/>
    <x v="0"/>
    <x v="184"/>
    <s v="Container Security Scanner Deployed"/>
  </r>
  <r>
    <s v="3.1.1-N9"/>
    <x v="62"/>
    <x v="1"/>
    <n v="33"/>
    <s v="Sec 3.1.4, 3.3.3"/>
    <x v="0"/>
    <x v="185"/>
    <s v="Perform Configuration Management,Platform Baselined and Monitored for Drift"/>
  </r>
  <r>
    <s v="3.1.1-N9"/>
    <x v="62"/>
    <x v="1"/>
    <n v="34"/>
    <s v="Sec 3.1.4, 3.3.3"/>
    <x v="0"/>
    <x v="186"/>
    <s v="None"/>
  </r>
  <r>
    <s v="1.1.3-F1"/>
    <x v="35"/>
    <x v="1"/>
    <n v="35"/>
    <s v="Sec 2.2"/>
    <x v="0"/>
    <x v="187"/>
    <s v="Store scripts for Version Control"/>
  </r>
  <r>
    <s v="U.U.1-F1"/>
    <x v="13"/>
    <x v="1"/>
    <n v="36"/>
    <s v="Sec 2.4"/>
    <x v="0"/>
    <x v="188"/>
    <s v="Perform Configuration Management"/>
  </r>
  <r>
    <s v="3.1.1-N1"/>
    <x v="47"/>
    <x v="1"/>
    <n v="37"/>
    <s v="Sec 2.0, 2.5"/>
    <x v="0"/>
    <x v="189"/>
    <s v="Perform Configuration Management"/>
  </r>
  <r>
    <s v="1.1.3-F6"/>
    <x v="55"/>
    <x v="1"/>
    <n v="38"/>
    <s v="Sec 2.2"/>
    <x v="0"/>
    <x v="190"/>
    <s v="Deploy to Approval and Production Environment,Deploy Container-based Application"/>
  </r>
  <r>
    <s v="2.1.2-F2"/>
    <x v="15"/>
    <x v="1"/>
    <n v="39"/>
    <s v="Sec 3.3.3"/>
    <x v="0"/>
    <x v="191"/>
    <s v="Verify System Health and Metrics"/>
  </r>
  <r>
    <s v="2.1.2-F12"/>
    <x v="10"/>
    <x v="1"/>
    <n v="40"/>
    <s v="Sec 3.3.3"/>
    <x v="0"/>
    <x v="192"/>
    <s v="Verify System Health and Metrics"/>
  </r>
  <r>
    <s v="3.1.1-N5"/>
    <x v="9"/>
    <x v="1"/>
    <n v="41"/>
    <s v="Sec 2.1, 4.1"/>
    <x v="0"/>
    <x v="193"/>
    <s v="Conduct Compliance and Security Checks"/>
  </r>
  <r>
    <s v="1.1.3-F1"/>
    <x v="35"/>
    <x v="1"/>
    <n v="42"/>
    <s v="Sec 2.2"/>
    <x v="0"/>
    <x v="194"/>
    <s v="Store scripts for Version Control"/>
  </r>
  <r>
    <s v="3.1.1-F11"/>
    <x v="54"/>
    <x v="1"/>
    <n v="43"/>
    <s v="Sec 2.1.2"/>
    <x v="0"/>
    <x v="195"/>
    <s v="Conduct Compliance and Security Checks"/>
  </r>
  <r>
    <s v="2.1.2-F2"/>
    <x v="15"/>
    <x v="1"/>
    <n v="44"/>
    <s v="Sec 3.3.3"/>
    <x v="0"/>
    <x v="196"/>
    <s v="Verify System Health and Metrics"/>
  </r>
  <r>
    <s v="3.1.1-F14"/>
    <x v="63"/>
    <x v="1"/>
    <n v="45"/>
    <s v="Sec 2.1.2"/>
    <x v="0"/>
    <x v="197"/>
    <s v="Manage Load Balancing"/>
  </r>
  <r>
    <s v="3.1.1-F7"/>
    <x v="17"/>
    <x v="1"/>
    <n v="46"/>
    <s v="Sec 5.4.3"/>
    <x v="1"/>
    <x v="198"/>
    <s v="Disaster Recovery"/>
  </r>
  <r>
    <s v="3.1.1-F2"/>
    <x v="14"/>
    <x v="1"/>
    <n v="47"/>
    <s v="Sec 2.1.2, 5.1.1"/>
    <x v="0"/>
    <x v="199"/>
    <s v="Identity Broker Integrated with IdP,Access Control"/>
  </r>
  <r>
    <s v="3.1.1-F1"/>
    <x v="53"/>
    <x v="1"/>
    <n v="48"/>
    <s v="Sec 2.1.1"/>
    <x v="0"/>
    <x v="200"/>
    <s v="Configure Auto-Scaling"/>
  </r>
  <r>
    <s v="3.1.1-F10"/>
    <x v="46"/>
    <x v="1"/>
    <n v="49"/>
    <s v="Sec 2.2.1"/>
    <x v="0"/>
    <x v="201"/>
    <s v="Configure Applications to Standard Interface in Central Auth Provider,Containerize Applications,Define Application Segregation of Logging Data,Define Backup Policy (Application Config),Deploy Container-based Application,Enforce Container Repository Restrictions,Define Interface for Handling Application Logs"/>
  </r>
  <r>
    <s v="3.1.1-N15"/>
    <x v="64"/>
    <x v="1"/>
    <n v="50"/>
    <s v="Sec 2.1, 4.1"/>
    <x v="0"/>
    <x v="202"/>
    <s v="Conduct Compliance and Security Checks"/>
  </r>
  <r>
    <s v="1.1.3-F5"/>
    <x v="65"/>
    <x v="1"/>
    <n v="51"/>
    <s v="Sec 2.2"/>
    <x v="0"/>
    <x v="203"/>
    <s v="Enforce Container Repository Restrictions"/>
  </r>
  <r>
    <s v="U.U.2-N1"/>
    <x v="66"/>
    <x v="1"/>
    <n v="52"/>
    <s v="Sec 2.4.1, 5.1.1"/>
    <x v="0"/>
    <x v="204"/>
    <s v="Perform Configuration Management"/>
  </r>
  <r>
    <s v="U.U.1-F1"/>
    <x v="13"/>
    <x v="1"/>
    <n v="53"/>
    <s v="Sec 2.4"/>
    <x v="0"/>
    <x v="205"/>
    <s v="Perform Configuration Management"/>
  </r>
  <r>
    <s v="3.1.1-P1"/>
    <x v="67"/>
    <x v="1"/>
    <n v="54"/>
    <s v="Sec 1.2, 5.1.1"/>
    <x v="0"/>
    <x v="206"/>
    <s v="None"/>
  </r>
  <r>
    <s v="3.1.1-N4"/>
    <x v="68"/>
    <x v="1"/>
    <n v="55"/>
    <s v="Sec 2.1.1"/>
    <x v="0"/>
    <x v="207"/>
    <s v="Automate the Provisioning of Infrastructure,Define Infrastructure"/>
  </r>
  <r>
    <s v="2.1.2-F11"/>
    <x v="1"/>
    <x v="1"/>
    <n v="56"/>
    <s v="Sec 2.1.2, 3.3.3"/>
    <x v="0"/>
    <x v="208"/>
    <s v="Provide Centralized Logging and Monitoring"/>
  </r>
  <r>
    <s v="U.U.2-N1"/>
    <x v="66"/>
    <x v="1"/>
    <n v="57"/>
    <s v="Sec 2.4.1, 5.1.1"/>
    <x v="0"/>
    <x v="209"/>
    <s v="Develop IaC"/>
  </r>
  <r>
    <s v="U.U.2-F4"/>
    <x v="69"/>
    <x v="1"/>
    <n v="58"/>
    <s v="Sec 2.4.1"/>
    <x v="0"/>
    <x v="210"/>
    <s v="Conduct Automated Testing"/>
  </r>
  <r>
    <s v="2.1.2-F1"/>
    <x v="27"/>
    <x v="1"/>
    <n v="59"/>
    <s v="Sec 2.1.2, 3.3.3"/>
    <x v="0"/>
    <x v="211"/>
    <s v="Define Interface for Handling Application Logs,Deploy Logging &amp; Monitoring Operator to K8s,Provide Centralized Logging and Monitoring"/>
  </r>
  <r>
    <s v="1.1.3-F6"/>
    <x v="55"/>
    <x v="1"/>
    <n v="60"/>
    <s v="Sec 2.2"/>
    <x v="0"/>
    <x v="212"/>
    <s v="Automate the Provisioning of Infrastructure,Develop IaC,Establish Automated CI/CD Pipeline(s)"/>
  </r>
  <r>
    <s v="3.1.1-F1"/>
    <x v="53"/>
    <x v="1"/>
    <n v="61"/>
    <s v="Sec 2.1.1"/>
    <x v="0"/>
    <x v="213"/>
    <s v="Containerize Applications"/>
  </r>
  <r>
    <s v="3.1.1-F1"/>
    <x v="53"/>
    <x v="1"/>
    <n v="62"/>
    <s v="Sec 2.1.1"/>
    <x v="0"/>
    <x v="214"/>
    <s v="Autoscaling of Kubernetes Cluster,Provision and Configure Kubernetes"/>
  </r>
  <r>
    <s v="2.1.2-F12"/>
    <x v="10"/>
    <x v="1"/>
    <n v="63"/>
    <s v="Sec 3.3.3"/>
    <x v="0"/>
    <x v="215"/>
    <s v="Manage Load Balancing"/>
  </r>
  <r>
    <s v="2.1.2-F1"/>
    <x v="27"/>
    <x v="1"/>
    <n v="64"/>
    <s v="Sec 2.1.2, 3.3.3"/>
    <x v="0"/>
    <x v="216"/>
    <s v="Integrate Secure Platform Core with SIEM,Provide Centralized Logging and Monitoring"/>
  </r>
  <r>
    <s v="3.1.1-N5"/>
    <x v="9"/>
    <x v="1"/>
    <n v="65"/>
    <s v="Sec 2.1, 4.1"/>
    <x v="0"/>
    <x v="217"/>
    <s v="None"/>
  </r>
  <r>
    <s v="2.1.2-F1"/>
    <x v="27"/>
    <x v="1"/>
    <n v="66"/>
    <s v="Sec 2.1.2, 3.3.3"/>
    <x v="0"/>
    <x v="218"/>
    <s v="Define Interface for Handling Application Logs"/>
  </r>
  <r>
    <s v="3.1.1-N5"/>
    <x v="9"/>
    <x v="1"/>
    <n v="67"/>
    <s v="Sec 2.1, 4.1"/>
    <x v="0"/>
    <x v="219"/>
    <s v="Deploy Logging &amp; Monitoring Operator to K8s"/>
  </r>
  <r>
    <s v="U.U.2-F5"/>
    <x v="59"/>
    <x v="1"/>
    <n v="68"/>
    <s v="Sec 2.4.1"/>
    <x v="0"/>
    <x v="220"/>
    <s v="None"/>
  </r>
  <r>
    <s v="2.1.2-F11"/>
    <x v="1"/>
    <x v="1"/>
    <n v="69"/>
    <s v="Sec 2.1.2, 3.3.3"/>
    <x v="0"/>
    <x v="221"/>
    <s v="Provide Centralized Logging and Monitoring"/>
  </r>
  <r>
    <s v="2.1.2-F11"/>
    <x v="1"/>
    <x v="1"/>
    <n v="70"/>
    <s v="Sec 2.1.2, 3.3.3"/>
    <x v="0"/>
    <x v="222"/>
    <s v="None"/>
  </r>
  <r>
    <s v="3.1.1-F12"/>
    <x v="70"/>
    <x v="1"/>
    <n v="71"/>
    <s v="Sec 2.1.2"/>
    <x v="0"/>
    <x v="223"/>
    <s v="Provide Centralized Logging and Monitoring,Audit and Monitoring"/>
  </r>
  <r>
    <s v="2.1.2-F2"/>
    <x v="15"/>
    <x v="1"/>
    <n v="72"/>
    <s v="Sec 3.3.3"/>
    <x v="0"/>
    <x v="224"/>
    <s v="Establish Automated CI/CD Pipeline(s)"/>
  </r>
  <r>
    <s v="1.1.3-F5"/>
    <x v="65"/>
    <x v="1"/>
    <n v="73"/>
    <s v="Sec 2.2"/>
    <x v="0"/>
    <x v="225"/>
    <s v="Provide Containerization and Microservices Management"/>
  </r>
  <r>
    <s v="3.1.1-F1"/>
    <x v="53"/>
    <x v="1"/>
    <n v="74"/>
    <s v="Sec 2.1.1"/>
    <x v="0"/>
    <x v="226"/>
    <s v="Autoscaling of Kubernetes Cluster,Provision and Configure Kubernetes"/>
  </r>
  <r>
    <s v="3.1.1-F15"/>
    <x v="51"/>
    <x v="1"/>
    <n v="75"/>
    <s v="Sec 2.1.2"/>
    <x v="0"/>
    <x v="227"/>
    <s v="Conduct Compliance and Security Checks,Container Runtime Security Deployed,Container Security Scanner Deployed,Deploy and Enforce use of Sidecar Container Security,Pod Level Zero Trust Security,Security Integration- Sidecar Container Security Stack (SCSS),Configure TLS,Deploy Ingress"/>
  </r>
  <r>
    <s v="3.1.1-P2"/>
    <x v="37"/>
    <x v="1"/>
    <n v="76"/>
    <s v="Sec 1.2, 4.5, 5.2.2"/>
    <x v="0"/>
    <x v="228"/>
    <s v="None"/>
  </r>
  <r>
    <s v="3.1.1-N1"/>
    <x v="47"/>
    <x v="1"/>
    <n v="77"/>
    <s v="Sec 2.0, 2.5"/>
    <x v="0"/>
    <x v="229"/>
    <s v="Deploy Cluster Infrastructure,Provision and Configure Kubernetes"/>
  </r>
  <r>
    <s v="3.1.1-F5"/>
    <x v="57"/>
    <x v="1"/>
    <n v="78"/>
    <s v="Sec 2.1.2"/>
    <x v="0"/>
    <x v="230"/>
    <s v="Provide Containerization and Microservices Management"/>
  </r>
  <r>
    <s v="2.1.2-F2"/>
    <x v="15"/>
    <x v="1"/>
    <n v="79"/>
    <s v="Sec 3.3.3"/>
    <x v="0"/>
    <x v="231"/>
    <s v="None"/>
  </r>
  <r>
    <s v="3.1.1-F6"/>
    <x v="56"/>
    <x v="1"/>
    <n v="80"/>
    <s v="Sec 2.1.2"/>
    <x v="0"/>
    <x v="232"/>
    <s v="Backup and Recovery"/>
  </r>
  <r>
    <s v="2.1.2-F2"/>
    <x v="15"/>
    <x v="1"/>
    <n v="81"/>
    <s v="Sec 3.3.3"/>
    <x v="0"/>
    <x v="233"/>
    <s v="Provide System Maintenance"/>
  </r>
  <r>
    <s v="2.1.2-F2"/>
    <x v="15"/>
    <x v="1"/>
    <n v="82"/>
    <s v="Sec 3.3.3"/>
    <x v="0"/>
    <x v="234"/>
    <s v="Provide Maintenance Status"/>
  </r>
  <r>
    <s v="3.1.1-F14"/>
    <x v="63"/>
    <x v="1"/>
    <n v="83"/>
    <s v="Sec 2.1.2"/>
    <x v="0"/>
    <x v="235"/>
    <s v="Deploy Service Mesh,Provide Traffic Management,Manage Traffic Routing"/>
  </r>
  <r>
    <s v="2.1.2-F1"/>
    <x v="27"/>
    <x v="1"/>
    <n v="84"/>
    <s v="Sec 2.1.2, 3.3.3"/>
    <x v="0"/>
    <x v="236"/>
    <s v="Provide Centralized Logging and Monitoring"/>
  </r>
  <r>
    <s v="3.1.1-P1"/>
    <x v="67"/>
    <x v="1"/>
    <n v="85"/>
    <s v="Sec 1.2, 5.1.1"/>
    <x v="0"/>
    <x v="237"/>
    <s v="Define Infrastructure,Develop IaC"/>
  </r>
  <r>
    <s v="2.1.2-F2"/>
    <x v="15"/>
    <x v="1"/>
    <n v="86"/>
    <s v="Sec 3.3.3"/>
    <x v="0"/>
    <x v="238"/>
    <s v="Backup and Recovery"/>
  </r>
  <r>
    <s v="2.1.2-F1"/>
    <x v="27"/>
    <x v="1"/>
    <n v="87"/>
    <s v="Sec 2.1.2, 3.3.3"/>
    <x v="0"/>
    <x v="239"/>
    <s v="Conduct Compliance and Security Checks"/>
  </r>
  <r>
    <s v="3.1.1-F7"/>
    <x v="17"/>
    <x v="1"/>
    <n v="88"/>
    <s v="Sec 5.4.3"/>
    <x v="0"/>
    <x v="240"/>
    <s v="Backup and Recovery Operator Deployment"/>
  </r>
  <r>
    <s v="2.1.2-F2"/>
    <x v="15"/>
    <x v="1"/>
    <n v="89"/>
    <s v="Sec 3.3.3"/>
    <x v="0"/>
    <x v="241"/>
    <s v="Provide System Maintenance"/>
  </r>
  <r>
    <s v="1.1.3-F6"/>
    <x v="55"/>
    <x v="1"/>
    <n v="90"/>
    <s v="Sec 2.2"/>
    <x v="0"/>
    <x v="242"/>
    <s v="Establish Automated CI/CD Pipeline(s)"/>
  </r>
  <r>
    <s v="1.1.3-F6"/>
    <x v="55"/>
    <x v="1"/>
    <n v="91"/>
    <s v="Sec 2.2"/>
    <x v="0"/>
    <x v="243"/>
    <s v="Establish Automated CI/CD Pipeline(s)"/>
  </r>
  <r>
    <s v="3.1.1-F1"/>
    <x v="53"/>
    <x v="1"/>
    <n v="92"/>
    <s v="Sec 2.1.1"/>
    <x v="0"/>
    <x v="244"/>
    <s v="Autoscaling of Kubernetes Cluster"/>
  </r>
  <r>
    <s v="3.1.1-F1"/>
    <x v="53"/>
    <x v="1"/>
    <n v="93"/>
    <s v="Sec 2.1.1"/>
    <x v="0"/>
    <x v="245"/>
    <s v="Configure Auto-Scaling"/>
  </r>
  <r>
    <s v="U.U.2-N1"/>
    <x v="66"/>
    <x v="1"/>
    <n v="94"/>
    <s v="Sec 2.4.1, 5.1.1"/>
    <x v="0"/>
    <x v="246"/>
    <s v="Develop IaC"/>
  </r>
  <r>
    <s v="U.U.1-F1"/>
    <x v="13"/>
    <x v="1"/>
    <n v="95"/>
    <s v="Sec 2.4"/>
    <x v="0"/>
    <x v="247"/>
    <s v="Perform Configuration Management"/>
  </r>
  <r>
    <s v="3.1.1-N1"/>
    <x v="47"/>
    <x v="1"/>
    <n v="96"/>
    <s v="Sec 2.0, 2.5"/>
    <x v="0"/>
    <x v="248"/>
    <s v="Define Infrastructure"/>
  </r>
  <r>
    <s v="2.1.2-F12"/>
    <x v="10"/>
    <x v="1"/>
    <n v="97"/>
    <s v="Sec 3.3.3"/>
    <x v="0"/>
    <x v="249"/>
    <s v="Verify System Health and Metrics"/>
  </r>
  <r>
    <s v="3.1.1-F1"/>
    <x v="53"/>
    <x v="1"/>
    <n v="98"/>
    <s v="Sec 2.1.1"/>
    <x v="0"/>
    <x v="250"/>
    <s v="Autoscaling of Kubernetes Cluster,Configure Auto-Scaling"/>
  </r>
  <r>
    <s v="3.1.1-F6"/>
    <x v="56"/>
    <x v="1"/>
    <n v="99"/>
    <s v="Sec 2.1.2"/>
    <x v="0"/>
    <x v="251"/>
    <s v="Backup and Recovery,Backup and Recovery Operator Deployment"/>
  </r>
  <r>
    <s v="U.U.1-F1"/>
    <x v="13"/>
    <x v="1"/>
    <n v="100"/>
    <s v="Sec 2.4"/>
    <x v="0"/>
    <x v="252"/>
    <s v="Perform Configuration Management"/>
  </r>
  <r>
    <s v="1.1.3-F1"/>
    <x v="35"/>
    <x v="1"/>
    <n v="101"/>
    <s v="Sec 2.2"/>
    <x v="0"/>
    <x v="253"/>
    <s v="Perform Configuration Management,Commit Code"/>
  </r>
  <r>
    <s v="3.1.1-N10"/>
    <x v="48"/>
    <x v="1"/>
    <n v="102"/>
    <s v="Sec 2.1.2"/>
    <x v="0"/>
    <x v="254"/>
    <s v="Conduct Compliance and Security Checks,Store Secrets"/>
  </r>
  <r>
    <s v="3.1.1-N10"/>
    <x v="48"/>
    <x v="1"/>
    <n v="103"/>
    <s v="Sec 2.1.2"/>
    <x v="0"/>
    <x v="255"/>
    <s v="None"/>
  </r>
  <r>
    <s v="3.1.1-F16"/>
    <x v="71"/>
    <x v="1"/>
    <n v="104"/>
    <s v="Sec 2.1.2"/>
    <x v="0"/>
    <x v="256"/>
    <s v="Conduct Compliance and Security Checks"/>
  </r>
  <r>
    <s v="3.1.1-F16"/>
    <x v="71"/>
    <x v="1"/>
    <n v="105"/>
    <s v="Sec 2.1.2"/>
    <x v="0"/>
    <x v="257"/>
    <s v="Conduct Compliance and Security Checks,Rotate Secrets"/>
  </r>
  <r>
    <s v="3.1.1-F17"/>
    <x v="58"/>
    <x v="1"/>
    <n v="106"/>
    <s v="Sec 2.1.2"/>
    <x v="0"/>
    <x v="258"/>
    <s v="Conduct Compliance and Security Checks"/>
  </r>
  <r>
    <s v="U.U.2-F5"/>
    <x v="59"/>
    <x v="1"/>
    <n v="107"/>
    <s v="Sec 2.4.1"/>
    <x v="0"/>
    <x v="259"/>
    <s v="Perform Configuration Management"/>
  </r>
  <r>
    <s v="3.1.1-F1"/>
    <x v="53"/>
    <x v="1"/>
    <n v="108"/>
    <s v="Sec 2.1.1"/>
    <x v="0"/>
    <x v="260"/>
    <s v="Deploy Containers,Provide Containerization and Microservices Management"/>
  </r>
  <r>
    <s v="2.1.2-F11"/>
    <x v="1"/>
    <x v="1"/>
    <n v="109"/>
    <s v="Sec 2.1.2, 3.3.3"/>
    <x v="0"/>
    <x v="261"/>
    <s v="Integrate Secure Platform Core with SIEM,Provide Centralized Logging and Monitoring"/>
  </r>
  <r>
    <s v="3.1.1-F2"/>
    <x v="14"/>
    <x v="1"/>
    <n v="110"/>
    <s v="Sec 2.1.2, 5.1.1"/>
    <x v="1"/>
    <x v="262"/>
    <s v="Provide Centralized Authentication and Authorization"/>
  </r>
  <r>
    <s v="2.1.2-F7"/>
    <x v="72"/>
    <x v="1"/>
    <n v="111"/>
    <s v="Sec 3.3.3"/>
    <x v="0"/>
    <x v="263"/>
    <s v="Securely Manage Secrets"/>
  </r>
  <r>
    <s v="2.1.2-F2"/>
    <x v="15"/>
    <x v="1"/>
    <n v="112"/>
    <s v="Sec 3.3.3"/>
    <x v="0"/>
    <x v="264"/>
    <s v="Provide Centralized Logging and Monitoring"/>
  </r>
  <r>
    <s v="U.U.2-F4"/>
    <x v="69"/>
    <x v="1"/>
    <n v="113"/>
    <s v="Sec 2.4.1"/>
    <x v="0"/>
    <x v="265"/>
    <s v="Establish Automated CI/CD Pipeline(s)"/>
  </r>
  <r>
    <s v="U.U.2-F4"/>
    <x v="69"/>
    <x v="1"/>
    <n v="114"/>
    <s v="Sec 2.4.1"/>
    <x v="0"/>
    <x v="266"/>
    <s v="Provide Maintenance Status"/>
  </r>
  <r>
    <s v="3.1.1-F14"/>
    <x v="63"/>
    <x v="1"/>
    <n v="115"/>
    <s v="Sec 2.1.2"/>
    <x v="0"/>
    <x v="267"/>
    <s v="Manage Load Balancing"/>
  </r>
  <r>
    <s v="2.1.2-F12"/>
    <x v="10"/>
    <x v="1"/>
    <n v="116"/>
    <s v="Sec 3.3.3"/>
    <x v="0"/>
    <x v="268"/>
    <s v="None"/>
  </r>
  <r>
    <s v="2.1.2-F12"/>
    <x v="10"/>
    <x v="1"/>
    <n v="117"/>
    <s v="Sec 3.3.3"/>
    <x v="0"/>
    <x v="269"/>
    <s v="Verify System Health and Metrics,Provide Maintenance Status"/>
  </r>
  <r>
    <s v="2.1.2-F2"/>
    <x v="15"/>
    <x v="1"/>
    <n v="118"/>
    <s v="Sec 3.3.3"/>
    <x v="0"/>
    <x v="270"/>
    <s v="Provide Maintenance Status"/>
  </r>
  <r>
    <s v="U.U.2-F4"/>
    <x v="69"/>
    <x v="1"/>
    <n v="119"/>
    <s v="Sec 2.4.1"/>
    <x v="0"/>
    <x v="271"/>
    <s v="Conduct Automated Testing"/>
  </r>
  <r>
    <s v="1.1.3-F1"/>
    <x v="35"/>
    <x v="1"/>
    <n v="120"/>
    <s v="Sec 2.2"/>
    <x v="0"/>
    <x v="272"/>
    <s v="Trigger Automated Build,Conduct Automated Testing"/>
  </r>
  <r>
    <s v="3.1.1-F3"/>
    <x v="61"/>
    <x v="1"/>
    <n v="121"/>
    <s v="Sec 2.1.2"/>
    <x v="0"/>
    <x v="273"/>
    <s v="Define Infrastructure"/>
  </r>
  <r>
    <s v="U.U.2-F5"/>
    <x v="59"/>
    <x v="1"/>
    <n v="122"/>
    <s v="Sec 2.4.1"/>
    <x v="0"/>
    <x v="274"/>
    <s v="Define Infrastructure"/>
  </r>
  <r>
    <s v="3.1.1-F3"/>
    <x v="61"/>
    <x v="1"/>
    <n v="123"/>
    <s v="Sec 2.1.2"/>
    <x v="0"/>
    <x v="275"/>
    <s v="Define Infrastructure"/>
  </r>
  <r>
    <s v="3.1.1-F3"/>
    <x v="61"/>
    <x v="1"/>
    <n v="124"/>
    <s v="Sec 2.1.2"/>
    <x v="0"/>
    <x v="276"/>
    <s v="Define Infrastructure"/>
  </r>
  <r>
    <s v="3.1.1-F3"/>
    <x v="61"/>
    <x v="1"/>
    <n v="125"/>
    <s v="Sec 2.1.2"/>
    <x v="0"/>
    <x v="277"/>
    <s v="Define Infrastructure"/>
  </r>
  <r>
    <s v="2.1.2-F12"/>
    <x v="10"/>
    <x v="1"/>
    <n v="126"/>
    <s v="Sec 3.3.3"/>
    <x v="0"/>
    <x v="278"/>
    <s v="Provide Centralized Logging and Monitoring"/>
  </r>
  <r>
    <s v="2.1.2-F11"/>
    <x v="1"/>
    <x v="1"/>
    <n v="128"/>
    <s v="Sec 2.1.2, 3.3.3"/>
    <x v="0"/>
    <x v="279"/>
    <s v="Provide Centralized Logging and Monitoring"/>
  </r>
  <r>
    <s v="2.1.2-F11"/>
    <x v="1"/>
    <x v="1"/>
    <n v="129"/>
    <s v="Sec 2.1.2, 3.3.3"/>
    <x v="0"/>
    <x v="280"/>
    <s v="Conduct Compliance and Security Checks"/>
  </r>
  <r>
    <s v="3.1.1-F9"/>
    <x v="31"/>
    <x v="1"/>
    <n v="130"/>
    <s v="Sec 2.2.1"/>
    <x v="0"/>
    <x v="281"/>
    <s v="None"/>
  </r>
  <r>
    <s v="2.1.2-F11"/>
    <x v="1"/>
    <x v="1"/>
    <n v="131"/>
    <s v="Sec 2.1.2, 3.3.3"/>
    <x v="0"/>
    <x v="282"/>
    <s v="Provide Centralized Logging and Monitoring"/>
  </r>
  <r>
    <s v="2.1.2-F6"/>
    <x v="36"/>
    <x v="1"/>
    <n v="132"/>
    <s v="Sec 3.3.3"/>
    <x v="0"/>
    <x v="283"/>
    <s v="Access Control"/>
  </r>
  <r>
    <s v="3.1.1-F11"/>
    <x v="54"/>
    <x v="1"/>
    <n v="133"/>
    <s v="Sec 2.1.2"/>
    <x v="0"/>
    <x v="284"/>
    <s v="Securely Manage Secrets"/>
  </r>
  <r>
    <s v="2.1.2-F11"/>
    <x v="1"/>
    <x v="1"/>
    <n v="134"/>
    <s v="Sec 2.1.2, 3.3.3"/>
    <x v="0"/>
    <x v="285"/>
    <s v="None"/>
  </r>
  <r>
    <s v="3.1.1-F14"/>
    <x v="63"/>
    <x v="1"/>
    <n v="135"/>
    <s v="Sec 2.1.2"/>
    <x v="0"/>
    <x v="286"/>
    <s v="None"/>
  </r>
  <r>
    <s v="3.1.1-F5"/>
    <x v="57"/>
    <x v="1"/>
    <n v="136"/>
    <s v="Sec 2.1.2"/>
    <x v="0"/>
    <x v="287"/>
    <s v="None"/>
  </r>
  <r>
    <s v="2.2.1-F5"/>
    <x v="73"/>
    <x v="1"/>
    <n v="137"/>
    <s v="Sec 2.3.1, 5.3.4"/>
    <x v="0"/>
    <x v="288"/>
    <s v="Provide Centralized Logging and Monitoring"/>
  </r>
  <r>
    <s v="2.2.1-F5"/>
    <x v="73"/>
    <x v="1"/>
    <n v="138"/>
    <s v="Sec 2.3.1, 5.3.4"/>
    <x v="0"/>
    <x v="289"/>
    <s v="Provide Centralized Logging and Monitoring"/>
  </r>
  <r>
    <s v="3.1.1-F6"/>
    <x v="56"/>
    <x v="1"/>
    <n v="139"/>
    <s v="Sec 2.1.2"/>
    <x v="0"/>
    <x v="290"/>
    <s v="Backup and Recovery,Define Backup Policy (Cluster Config)"/>
  </r>
  <r>
    <s v="3.1.1-F6"/>
    <x v="56"/>
    <x v="1"/>
    <n v="140"/>
    <s v="Sec 2.1.2"/>
    <x v="0"/>
    <x v="291"/>
    <s v="Backup and Recovery,Define Backup Policy (Application Config),Define Backup Policy (Cluster Config)"/>
  </r>
  <r>
    <s v="3.1.1-F6"/>
    <x v="56"/>
    <x v="1"/>
    <n v="141"/>
    <s v="Sec 2.1.2"/>
    <x v="0"/>
    <x v="292"/>
    <s v="Backup and Recovery Operator Deployment"/>
  </r>
  <r>
    <s v="2.1.2-F2"/>
    <x v="15"/>
    <x v="1"/>
    <n v="142"/>
    <s v="Sec 3.3.3"/>
    <x v="0"/>
    <x v="293"/>
    <s v="None"/>
  </r>
  <r>
    <s v="3.1.1-F2"/>
    <x v="14"/>
    <x v="1"/>
    <n v="143"/>
    <s v="Sec 2.1.2, 5.1.1"/>
    <x v="0"/>
    <x v="294"/>
    <s v="Provide Centralized Authentication and Authorization"/>
  </r>
  <r>
    <s v="3.1.1-F11"/>
    <x v="54"/>
    <x v="1"/>
    <n v="144"/>
    <s v="Sec 2.1.2"/>
    <x v="0"/>
    <x v="295"/>
    <s v="Securely Manage Secrets"/>
  </r>
  <r>
    <s v="1.1.3-F6"/>
    <x v="55"/>
    <x v="1"/>
    <n v="145"/>
    <s v="Sec 2.2"/>
    <x v="0"/>
    <x v="296"/>
    <s v="Conduct Compliance and Security Checks"/>
  </r>
  <r>
    <s v="2.1.2-F11"/>
    <x v="1"/>
    <x v="1"/>
    <n v="146"/>
    <s v="Sec 2.1.2, 3.3.3"/>
    <x v="0"/>
    <x v="297"/>
    <s v="Access Control"/>
  </r>
  <r>
    <s v="1.1.3-F8"/>
    <x v="41"/>
    <x v="1"/>
    <n v="147"/>
    <s v="Sec 2.2"/>
    <x v="0"/>
    <x v="298"/>
    <s v="Deploy to Approval and Production Environment,Conduct Compliance and Security Checks"/>
  </r>
  <r>
    <s v="3.1.1-F1"/>
    <x v="53"/>
    <x v="1"/>
    <n v="148"/>
    <s v="Sec 2.1.1"/>
    <x v="0"/>
    <x v="299"/>
    <s v="Container Runtime Security Deployed"/>
  </r>
  <r>
    <s v="3.1.1-P3"/>
    <x v="38"/>
    <x v="1"/>
    <n v="149"/>
    <s v="Sec 4.5"/>
    <x v="1"/>
    <x v="300"/>
    <s v="None"/>
  </r>
  <r>
    <s v="1.1.3-F6"/>
    <x v="55"/>
    <x v="1"/>
    <n v="150"/>
    <s v="Sec 2.2"/>
    <x v="0"/>
    <x v="301"/>
    <s v="Conduct Compliance and Security Checks"/>
  </r>
  <r>
    <s v="3.1.1-N12"/>
    <x v="74"/>
    <x v="1"/>
    <n v="151"/>
    <s v="Sec 2.4.1, 4.3.1"/>
    <x v="0"/>
    <x v="302"/>
    <s v="None"/>
  </r>
  <r>
    <s v="2.1.2-F3"/>
    <x v="75"/>
    <x v="1"/>
    <n v="152"/>
    <s v="Sec 3.3.3, 4.2.1"/>
    <x v="0"/>
    <x v="303"/>
    <s v="None"/>
  </r>
  <r>
    <s v="3.1.1-P4"/>
    <x v="16"/>
    <x v="1"/>
    <n v="153"/>
    <s v="Sec 4.5"/>
    <x v="0"/>
    <x v="304"/>
    <s v="Backup and Recovery"/>
  </r>
  <r>
    <s v="3.1.1-P2"/>
    <x v="37"/>
    <x v="1"/>
    <n v="154"/>
    <s v="Sec 1.2, 4.5, 5.2.2"/>
    <x v="0"/>
    <x v="305"/>
    <s v="None"/>
  </r>
  <r>
    <s v="3.1.1-F15"/>
    <x v="51"/>
    <x v="1"/>
    <n v="155"/>
    <s v="Sec 2.1.2"/>
    <x v="0"/>
    <x v="306"/>
    <s v="None"/>
  </r>
  <r>
    <s v="3.1.1-F15"/>
    <x v="51"/>
    <x v="1"/>
    <n v="156"/>
    <s v="Sec 2.1.2"/>
    <x v="0"/>
    <x v="307"/>
    <s v="Container Runtime Security Deployed"/>
  </r>
  <r>
    <s v="3.1.1-F15"/>
    <x v="51"/>
    <x v="1"/>
    <n v="157"/>
    <s v="Sec 2.1.2"/>
    <x v="0"/>
    <x v="308"/>
    <s v="None"/>
  </r>
  <r>
    <s v="3.1.1-F15"/>
    <x v="51"/>
    <x v="1"/>
    <n v="158"/>
    <s v="Sec 2.1.2"/>
    <x v="0"/>
    <x v="309"/>
    <s v="None"/>
  </r>
  <r>
    <s v="3.1.1-F2"/>
    <x v="14"/>
    <x v="1"/>
    <n v="159"/>
    <s v="Sec 2.1.2, 5.1.1"/>
    <x v="0"/>
    <x v="310"/>
    <s v="Identity Broker Integrated with IdP"/>
  </r>
  <r>
    <s v="3.1.1-F2"/>
    <x v="14"/>
    <x v="1"/>
    <n v="160"/>
    <s v="Sec 2.1.2, 5.1.1"/>
    <x v="0"/>
    <x v="311"/>
    <s v="Identity Broker Integrated with IdP"/>
  </r>
  <r>
    <s v="3.1.1-N1"/>
    <x v="47"/>
    <x v="1"/>
    <n v="161"/>
    <s v="Sec 2.0, 2.5"/>
    <x v="0"/>
    <x v="312"/>
    <s v="None"/>
  </r>
  <r>
    <s v="3.1.1-F15"/>
    <x v="51"/>
    <x v="1"/>
    <n v="162"/>
    <s v="Sec 2.1.2"/>
    <x v="0"/>
    <x v="313"/>
    <s v="None"/>
  </r>
  <r>
    <s v="3.1.1-N1"/>
    <x v="47"/>
    <x v="1"/>
    <n v="163"/>
    <s v="Sec 2.0, 2.5"/>
    <x v="0"/>
    <x v="314"/>
    <s v="Deploy Container-based Application"/>
  </r>
  <r>
    <s v="3.1.1-N5"/>
    <x v="9"/>
    <x v="1"/>
    <n v="164"/>
    <s v="Sec 2.1, 4.1"/>
    <x v="0"/>
    <x v="315"/>
    <s v="Conduct Compliance and Security Checks"/>
  </r>
  <r>
    <s v="3.1.1-N5"/>
    <x v="9"/>
    <x v="1"/>
    <n v="165"/>
    <s v="Sec 2.1, 4.1"/>
    <x v="0"/>
    <x v="316"/>
    <s v="None"/>
  </r>
  <r>
    <s v="2.1.2-F2"/>
    <x v="15"/>
    <x v="1"/>
    <n v="166"/>
    <s v="Sec 3.3.3"/>
    <x v="0"/>
    <x v="317"/>
    <s v="Audit and Monitoring,Provide Centralized Logging and Monitoring"/>
  </r>
  <r>
    <s v="3.1.1-F2"/>
    <x v="14"/>
    <x v="1"/>
    <n v="167"/>
    <s v="Sec 2.1.2, 5.1.1"/>
    <x v="0"/>
    <x v="318"/>
    <s v="None"/>
  </r>
  <r>
    <s v="3.1.1-N5"/>
    <x v="9"/>
    <x v="1"/>
    <n v="168"/>
    <s v="Sec 2.1, 4.1"/>
    <x v="0"/>
    <x v="319"/>
    <s v="Conduct Compliance and Security Checks,Develop IaC"/>
  </r>
  <r>
    <s v="U.U.2-N1"/>
    <x v="66"/>
    <x v="1"/>
    <n v="169"/>
    <s v="Sec 2.4.1, 5.1.1"/>
    <x v="0"/>
    <x v="320"/>
    <s v="None"/>
  </r>
  <r>
    <s v="3.1.1-N14"/>
    <x v="50"/>
    <x v="1"/>
    <n v="170"/>
    <s v="Sec 2.1, 4.1"/>
    <x v="0"/>
    <x v="321"/>
    <s v="Conduct Automated Testing,Conduct Compliance and Security Checks, Perform Configuration Management"/>
  </r>
  <r>
    <s v="2.1.2-F11"/>
    <x v="1"/>
    <x v="1"/>
    <n v="171"/>
    <s v="Sec 2.1.2, 3.3.3"/>
    <x v="0"/>
    <x v="322"/>
    <s v="Integrate Secure Platform Core with SIEM"/>
  </r>
  <r>
    <s v="3.1.1-F15"/>
    <x v="51"/>
    <x v="1"/>
    <n v="172"/>
    <s v="Sec 2.1.2"/>
    <x v="0"/>
    <x v="323"/>
    <s v="None"/>
  </r>
  <r>
    <s v="2.1.2-F1"/>
    <x v="27"/>
    <x v="1"/>
    <n v="173"/>
    <s v="Sec 2.1.2, 3.3.3"/>
    <x v="0"/>
    <x v="324"/>
    <s v="Conduct Compliance and Security Checks"/>
  </r>
  <r>
    <s v="3.1.1-N5"/>
    <x v="9"/>
    <x v="1"/>
    <n v="174"/>
    <s v="Sec 2.1, 4.1"/>
    <x v="0"/>
    <x v="325"/>
    <s v="Conduct Compliance and Security Checks"/>
  </r>
  <r>
    <s v="3.1.1-N12"/>
    <x v="74"/>
    <x v="1"/>
    <n v="175"/>
    <s v="Sec 2.4.1, 4.3.1"/>
    <x v="0"/>
    <x v="326"/>
    <s v="None"/>
  </r>
  <r>
    <s v="3.1.1-F9"/>
    <x v="31"/>
    <x v="1"/>
    <n v="176"/>
    <s v="Sec 2.2.1"/>
    <x v="0"/>
    <x v="327"/>
    <s v="None"/>
  </r>
  <r>
    <s v="3.1.1-F2"/>
    <x v="14"/>
    <x v="1"/>
    <n v="177"/>
    <s v="Sec 2.1.2, 5.1.1"/>
    <x v="0"/>
    <x v="328"/>
    <s v="Securely Manage Secrets"/>
  </r>
  <r>
    <s v="3.1.1-F2"/>
    <x v="14"/>
    <x v="1"/>
    <n v="178"/>
    <s v="Sec 2.1.2, 5.1.1"/>
    <x v="0"/>
    <x v="329"/>
    <s v="None"/>
  </r>
  <r>
    <s v="3.1.1-F2"/>
    <x v="14"/>
    <x v="1"/>
    <n v="179"/>
    <s v="Sec 2.1.2, 5.1.1"/>
    <x v="0"/>
    <x v="330"/>
    <s v="Identity Broker Integrated with IdP"/>
  </r>
  <r>
    <s v="3.1.1-F2"/>
    <x v="14"/>
    <x v="1"/>
    <n v="180"/>
    <s v="Sec 2.1.2, 5.1.1"/>
    <x v="0"/>
    <x v="331"/>
    <s v="Deploy Identity Broker,Identity Broker Integrated with IdP"/>
  </r>
  <r>
    <s v="2.1.2-F19"/>
    <x v="2"/>
    <x v="1"/>
    <n v="181"/>
    <s v="Sec 3.3.3"/>
    <x v="0"/>
    <x v="332"/>
    <s v="None"/>
  </r>
  <r>
    <s v="3.1.1-N14"/>
    <x v="50"/>
    <x v="1"/>
    <n v="182"/>
    <s v="Sec 2.1, 4.1"/>
    <x v="0"/>
    <x v="333"/>
    <s v="None"/>
  </r>
  <r>
    <s v="3.1.1-F15"/>
    <x v="51"/>
    <x v="1"/>
    <n v="183"/>
    <s v="Sec 2.1.2"/>
    <x v="0"/>
    <x v="334"/>
    <s v="None"/>
  </r>
  <r>
    <s v="2.1.2-F6"/>
    <x v="36"/>
    <x v="1"/>
    <n v="184"/>
    <s v="Sec 3.3.3"/>
    <x v="0"/>
    <x v="335"/>
    <s v="None"/>
  </r>
  <r>
    <s v="3.1.1-F10"/>
    <x v="46"/>
    <x v="1"/>
    <n v="185"/>
    <s v="Sec 2.2.1"/>
    <x v="0"/>
    <x v="336"/>
    <s v="Conduct Compliance and Security Checks"/>
  </r>
  <r>
    <s v="3.1.1-N7"/>
    <x v="76"/>
    <x v="1"/>
    <n v="186"/>
    <s v="Sec 2.4.1, 4.3.1"/>
    <x v="0"/>
    <x v="337"/>
    <s v="None"/>
  </r>
  <r>
    <s v="3.1.1-N7"/>
    <x v="76"/>
    <x v="1"/>
    <n v="187"/>
    <s v="Sec 2.4.1, 4.3.1"/>
    <x v="0"/>
    <x v="338"/>
    <s v="None"/>
  </r>
  <r>
    <s v="3.1.1-N7"/>
    <x v="76"/>
    <x v="1"/>
    <n v="188"/>
    <s v="Sec 2.4.1, 4.3.1"/>
    <x v="0"/>
    <x v="339"/>
    <s v="None"/>
  </r>
  <r>
    <s v="3.1.1-N6"/>
    <x v="52"/>
    <x v="1"/>
    <n v="189"/>
    <s v="Sec 4.2, 4.2.1"/>
    <x v="0"/>
    <x v="340"/>
    <s v="None"/>
  </r>
  <r>
    <s v="3.1.1-N7"/>
    <x v="76"/>
    <x v="1"/>
    <n v="190"/>
    <s v="Sec 2.4.1, 4.3.1"/>
    <x v="0"/>
    <x v="341"/>
    <s v="None"/>
  </r>
  <r>
    <s v="3.1.1-N7"/>
    <x v="76"/>
    <x v="1"/>
    <n v="191"/>
    <s v="Sec 2.4.1, 4.3.1"/>
    <x v="0"/>
    <x v="342"/>
    <s v="None"/>
  </r>
  <r>
    <s v="3.1.1-N7"/>
    <x v="76"/>
    <x v="1"/>
    <n v="192"/>
    <s v="Sec 2.4.1, 4.3.1"/>
    <x v="0"/>
    <x v="343"/>
    <s v="None"/>
  </r>
  <r>
    <s v="3.1.1-N7"/>
    <x v="76"/>
    <x v="1"/>
    <n v="193"/>
    <s v="Sec 2.4.1, 4.3.1"/>
    <x v="0"/>
    <x v="344"/>
    <s v="None"/>
  </r>
  <r>
    <s v="1.1.3-F9"/>
    <x v="77"/>
    <x v="1"/>
    <n v="194"/>
    <s v="Sec 2.1.2, 2.2"/>
    <x v="0"/>
    <x v="345"/>
    <s v="Establish Automated CI/CD Pipeline(s)"/>
  </r>
  <r>
    <s v="2.1.2-F19"/>
    <x v="2"/>
    <x v="1"/>
    <n v="195"/>
    <s v="Sec 3.3.3"/>
    <x v="0"/>
    <x v="346"/>
    <s v="Access Control"/>
  </r>
  <r>
    <s v="2.1.2-F19"/>
    <x v="2"/>
    <x v="1"/>
    <n v="196"/>
    <s v="Sec 3.3.3"/>
    <x v="0"/>
    <x v="347"/>
    <s v="Access Control"/>
  </r>
  <r>
    <s v="2.1.2-F19"/>
    <x v="2"/>
    <x v="1"/>
    <n v="197"/>
    <s v="Sec 3.3.3"/>
    <x v="0"/>
    <x v="348"/>
    <s v="Access Control"/>
  </r>
  <r>
    <s v="2.1.2-F19"/>
    <x v="2"/>
    <x v="1"/>
    <n v="198"/>
    <s v="Sec 3.3.3"/>
    <x v="0"/>
    <x v="349"/>
    <s v="Access Control"/>
  </r>
  <r>
    <s v="2.1.2-F19"/>
    <x v="2"/>
    <x v="1"/>
    <n v="199"/>
    <s v="Sec 3.3.3"/>
    <x v="0"/>
    <x v="350"/>
    <s v="Access Control"/>
  </r>
  <r>
    <s v="2.1.2-F18"/>
    <x v="39"/>
    <x v="1"/>
    <n v="200"/>
    <s v="Sec 3.3.3"/>
    <x v="0"/>
    <x v="351"/>
    <s v="Access Control"/>
  </r>
  <r>
    <s v="3.1.1-F3"/>
    <x v="61"/>
    <x v="1"/>
    <n v="201"/>
    <s v="Sec 2.1.2"/>
    <x v="0"/>
    <x v="352"/>
    <s v="Access Control"/>
  </r>
  <r>
    <s v="2.1.2-F19"/>
    <x v="2"/>
    <x v="1"/>
    <n v="202"/>
    <s v="Sec 3.3.3"/>
    <x v="0"/>
    <x v="353"/>
    <s v="Access Control"/>
  </r>
  <r>
    <s v="2.1.2-F19"/>
    <x v="2"/>
    <x v="1"/>
    <n v="203"/>
    <s v="Sec 3.3.3"/>
    <x v="0"/>
    <x v="354"/>
    <s v="Access Control"/>
  </r>
  <r>
    <s v="2.1.2-F18"/>
    <x v="39"/>
    <x v="1"/>
    <n v="204"/>
    <s v="Sec 3.3.3"/>
    <x v="0"/>
    <x v="355"/>
    <s v="None"/>
  </r>
  <r>
    <s v="3.1.1-N5"/>
    <x v="9"/>
    <x v="1"/>
    <n v="205"/>
    <s v="Sec 2.1, 4.1"/>
    <x v="0"/>
    <x v="356"/>
    <s v="None"/>
  </r>
  <r>
    <s v="3.1.1-F12"/>
    <x v="70"/>
    <x v="1"/>
    <n v="206"/>
    <s v="Sec 2.1.2"/>
    <x v="0"/>
    <x v="357"/>
    <s v="Audit and Monitoring,Store Secrets"/>
  </r>
  <r>
    <s v="3.1.1-F13"/>
    <x v="78"/>
    <x v="1"/>
    <n v="207"/>
    <s v="Sec 2.2.1"/>
    <x v="0"/>
    <x v="358"/>
    <s v="Securely Manage Secrets"/>
  </r>
  <r>
    <s v="3.1.1-F10"/>
    <x v="46"/>
    <x v="1"/>
    <n v="208"/>
    <s v="Sec 2.2.1"/>
    <x v="0"/>
    <x v="359"/>
    <s v="Access Control"/>
  </r>
  <r>
    <s v="3.1.1-F9"/>
    <x v="31"/>
    <x v="1"/>
    <n v="209"/>
    <s v="Sec 2.2.1"/>
    <x v="0"/>
    <x v="360"/>
    <s v="None"/>
  </r>
  <r>
    <s v="3.1.1-F1"/>
    <x v="53"/>
    <x v="1"/>
    <n v="210"/>
    <s v="Sec 2.1.1"/>
    <x v="0"/>
    <x v="361"/>
    <s v="None"/>
  </r>
  <r>
    <s v="1.1.3-F8"/>
    <x v="41"/>
    <x v="1"/>
    <n v="211"/>
    <s v="Sec 2.2"/>
    <x v="0"/>
    <x v="362"/>
    <s v="None"/>
  </r>
  <r>
    <s v="1.1.3-F5"/>
    <x v="65"/>
    <x v="1"/>
    <n v="212"/>
    <s v="Sec 2.2"/>
    <x v="0"/>
    <x v="363"/>
    <s v="None"/>
  </r>
  <r>
    <s v="U.U.2-F3"/>
    <x v="79"/>
    <x v="1"/>
    <n v="213"/>
    <s v="Sec 2.4.1"/>
    <x v="0"/>
    <x v="364"/>
    <s v="None"/>
  </r>
  <r>
    <s v="2.1.2-F11"/>
    <x v="1"/>
    <x v="1"/>
    <n v="214"/>
    <s v="Sec 2.1.2, 3.3.3"/>
    <x v="0"/>
    <x v="365"/>
    <s v="None"/>
  </r>
  <r>
    <s v="3.1.1-F15"/>
    <x v="51"/>
    <x v="1"/>
    <n v="215"/>
    <s v="Sec 2.1.2"/>
    <x v="0"/>
    <x v="366"/>
    <s v="None"/>
  </r>
  <r>
    <s v="3.1.1-P2"/>
    <x v="37"/>
    <x v="1"/>
    <n v="216"/>
    <s v="Sec 1.2, 4.5, 5.2.2"/>
    <x v="0"/>
    <x v="367"/>
    <s v="None"/>
  </r>
  <r>
    <s v="3.1.1-N5"/>
    <x v="9"/>
    <x v="1"/>
    <n v="217"/>
    <s v="Sec 2.1, 4.1"/>
    <x v="0"/>
    <x v="368"/>
    <s v="None"/>
  </r>
  <r>
    <s v="3.1.1-N12"/>
    <x v="74"/>
    <x v="1"/>
    <n v="218"/>
    <s v="Sec 2.4.1, 4.3.1"/>
    <x v="0"/>
    <x v="369"/>
    <s v="None"/>
  </r>
  <r>
    <s v="1.1.3-F8"/>
    <x v="41"/>
    <x v="1"/>
    <n v="219"/>
    <s v="Sec 2.2"/>
    <x v="0"/>
    <x v="370"/>
    <s v="Container Security Scanner Deployed"/>
  </r>
  <r>
    <s v="1.1.3-F6"/>
    <x v="55"/>
    <x v="1"/>
    <n v="220"/>
    <s v="Sec 2.2"/>
    <x v="0"/>
    <x v="371"/>
    <s v="Deploy to Staging Environment,Conduct Automated Testing,Conduct Compliance and Security Checks"/>
  </r>
  <r>
    <s v="2.1.2-F14"/>
    <x v="80"/>
    <x v="1"/>
    <n v="221"/>
    <s v="Sec 3.3.3, 4.2.1"/>
    <x v="0"/>
    <x v="372"/>
    <s v="Container Security Scanner Deployed"/>
  </r>
  <r>
    <s v="2.1.2-F11"/>
    <x v="1"/>
    <x v="1"/>
    <n v="222"/>
    <s v="Sec 2.1.2, 3.3.3"/>
    <x v="0"/>
    <x v="373"/>
    <s v="Audit and Monitoring"/>
  </r>
  <r>
    <s v="3.1.1-F5"/>
    <x v="57"/>
    <x v="1"/>
    <n v="223"/>
    <s v="Sec 2.1.2"/>
    <x v="0"/>
    <x v="374"/>
    <s v="Container Runtime Security Deployed"/>
  </r>
  <r>
    <s v="3.1.1-F5"/>
    <x v="57"/>
    <x v="1"/>
    <n v="224"/>
    <s v="Sec 2.1.2"/>
    <x v="0"/>
    <x v="375"/>
    <s v="None"/>
  </r>
  <r>
    <s v="3.1.1-F2"/>
    <x v="14"/>
    <x v="1"/>
    <n v="225"/>
    <s v="Sec 2.1.2, 5.1.1"/>
    <x v="0"/>
    <x v="376"/>
    <s v="None"/>
  </r>
  <r>
    <s v="3.1.1-N5"/>
    <x v="9"/>
    <x v="1"/>
    <n v="226"/>
    <s v="Sec 2.1, 4.1"/>
    <x v="0"/>
    <x v="377"/>
    <s v="None"/>
  </r>
  <r>
    <s v="3.1.1-P3"/>
    <x v="38"/>
    <x v="1"/>
    <n v="227"/>
    <s v="Sec 4.5"/>
    <x v="0"/>
    <x v="378"/>
    <s v="Provide Containerization and Microservices Management"/>
  </r>
  <r>
    <s v="3.1.1-F3"/>
    <x v="61"/>
    <x v="1"/>
    <n v="228"/>
    <s v="Sec 2.1.2"/>
    <x v="0"/>
    <x v="379"/>
    <s v="None"/>
  </r>
  <r>
    <s v="U.U.2-F5"/>
    <x v="59"/>
    <x v="1"/>
    <n v="229"/>
    <s v="Sec 2.4.1"/>
    <x v="0"/>
    <x v="380"/>
    <s v="None"/>
  </r>
  <r>
    <s v="3.1.1-F6"/>
    <x v="56"/>
    <x v="1"/>
    <n v="230"/>
    <s v="Sec 2.1.2"/>
    <x v="0"/>
    <x v="381"/>
    <s v="Backup and Recovery"/>
  </r>
  <r>
    <s v="2.1.2-F3"/>
    <x v="75"/>
    <x v="1"/>
    <n v="231"/>
    <s v="Sec 3.3.3, 4.2.1"/>
    <x v="0"/>
    <x v="382"/>
    <s v="None"/>
  </r>
  <r>
    <s v="3.1.1-N12"/>
    <x v="74"/>
    <x v="1"/>
    <n v="232"/>
    <s v="Sec 2.4.1, 4.3.1"/>
    <x v="0"/>
    <x v="383"/>
    <s v="Conduct Compliance and Security Checks,Conduct Automated Testing,Container Runtime Security Deployed,Container Security Scanner Deployed"/>
  </r>
  <r>
    <s v="2.1.2-F11"/>
    <x v="1"/>
    <x v="1"/>
    <n v="233"/>
    <s v="Sec 2.1.2, 3.3.3"/>
    <x v="0"/>
    <x v="384"/>
    <s v="Provide Centralized Logging and Monitoring"/>
  </r>
  <r>
    <s v="3.1.1-F3"/>
    <x v="61"/>
    <x v="1"/>
    <n v="234"/>
    <s v="Sec 2.1.2"/>
    <x v="0"/>
    <x v="385"/>
    <s v="Backup and Recovery"/>
  </r>
  <r>
    <s v="2.1.2-F12"/>
    <x v="10"/>
    <x v="1"/>
    <n v="235"/>
    <s v="Sec 3.3.3"/>
    <x v="0"/>
    <x v="386"/>
    <s v="None"/>
  </r>
  <r>
    <s v="3.1.1-N5"/>
    <x v="9"/>
    <x v="1"/>
    <n v="236"/>
    <s v="Sec 2.1, 4.1"/>
    <x v="0"/>
    <x v="387"/>
    <s v="Conduct Compliance and Security Checks"/>
  </r>
  <r>
    <s v="3.1.1-M5"/>
    <x v="18"/>
    <x v="1"/>
    <n v="238"/>
    <s v="Sec 2.1.2"/>
    <x v="1"/>
    <x v="388"/>
    <s v="None"/>
  </r>
  <r>
    <s v="3.1.1-M6"/>
    <x v="81"/>
    <x v="1"/>
    <n v="239"/>
    <s v="Sec 2.1.2"/>
    <x v="1"/>
    <x v="389"/>
    <s v="None"/>
  </r>
  <r>
    <s v="3.1.1-F9"/>
    <x v="31"/>
    <x v="1"/>
    <n v="240"/>
    <s v="Sec 2.2.1"/>
    <x v="0"/>
    <x v="390"/>
    <s v="Deployment of Hosted Application on the Manufacturing Floor"/>
  </r>
  <r>
    <s v="3.1.1-F9"/>
    <x v="31"/>
    <x v="1"/>
    <n v="241"/>
    <s v="Sec 2.2.1"/>
    <x v="0"/>
    <x v="390"/>
    <s v="Deployment of Hosted Application on the Manufacturing Floor"/>
  </r>
  <r>
    <m/>
    <x v="82"/>
    <x v="2"/>
    <m/>
    <m/>
    <x v="2"/>
    <x v="39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49913F-A699-4B78-92CC-66154966482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88" firstHeaderRow="1" firstDataRow="2" firstDataCol="1" rowPageCount="2" colPageCount="1"/>
  <pivotFields count="8">
    <pivotField dataField="1" showAll="0"/>
    <pivotField axis="axisRow" showAll="0">
      <items count="84">
        <item x="16"/>
        <item x="48"/>
        <item x="11"/>
        <item x="2"/>
        <item x="36"/>
        <item x="39"/>
        <item x="72"/>
        <item x="74"/>
        <item x="45"/>
        <item x="20"/>
        <item x="42"/>
        <item x="52"/>
        <item x="22"/>
        <item x="13"/>
        <item x="68"/>
        <item x="78"/>
        <item x="47"/>
        <item x="43"/>
        <item x="50"/>
        <item x="64"/>
        <item x="9"/>
        <item x="38"/>
        <item x="31"/>
        <item x="33"/>
        <item x="18"/>
        <item x="81"/>
        <item x="40"/>
        <item x="44"/>
        <item x="67"/>
        <item x="37"/>
        <item x="28"/>
        <item x="4"/>
        <item x="46"/>
        <item x="21"/>
        <item x="70"/>
        <item x="77"/>
        <item x="5"/>
        <item x="30"/>
        <item x="23"/>
        <item x="34"/>
        <item x="24"/>
        <item x="8"/>
        <item x="12"/>
        <item x="15"/>
        <item x="10"/>
        <item x="60"/>
        <item x="25"/>
        <item x="32"/>
        <item x="27"/>
        <item x="1"/>
        <item x="0"/>
        <item x="76"/>
        <item x="19"/>
        <item x="65"/>
        <item x="49"/>
        <item x="55"/>
        <item x="41"/>
        <item x="35"/>
        <item x="17"/>
        <item x="53"/>
        <item x="75"/>
        <item x="80"/>
        <item x="56"/>
        <item x="14"/>
        <item x="54"/>
        <item x="61"/>
        <item x="57"/>
        <item x="7"/>
        <item x="29"/>
        <item x="3"/>
        <item x="73"/>
        <item x="26"/>
        <item x="6"/>
        <item x="62"/>
        <item x="71"/>
        <item x="58"/>
        <item x="51"/>
        <item x="63"/>
        <item x="66"/>
        <item x="79"/>
        <item x="69"/>
        <item x="59"/>
        <item x="82"/>
        <item t="default"/>
      </items>
    </pivotField>
    <pivotField axis="axisPage" showAll="0">
      <items count="4">
        <item x="0"/>
        <item x="1"/>
        <item x="2"/>
        <item t="default"/>
      </items>
    </pivotField>
    <pivotField showAll="0"/>
    <pivotField showAll="0"/>
    <pivotField axis="axisCol" showAll="0">
      <items count="4">
        <item x="1"/>
        <item x="0"/>
        <item h="1" x="2"/>
        <item t="default"/>
      </items>
    </pivotField>
    <pivotField axis="axisPage" showAll="0">
      <items count="393">
        <item x="382"/>
        <item x="326"/>
        <item x="302"/>
        <item x="381"/>
        <item x="303"/>
        <item x="232"/>
        <item x="241"/>
        <item x="266"/>
        <item x="265"/>
        <item x="324"/>
        <item x="162"/>
        <item x="383"/>
        <item x="198"/>
        <item x="312"/>
        <item x="210"/>
        <item x="298"/>
        <item x="159"/>
        <item x="160"/>
        <item x="166"/>
        <item x="72"/>
        <item x="71"/>
        <item x="68"/>
        <item x="69"/>
        <item x="70"/>
        <item x="124"/>
        <item x="57"/>
        <item x="94"/>
        <item x="100"/>
        <item x="87"/>
        <item x="89"/>
        <item x="10"/>
        <item x="85"/>
        <item x="30"/>
        <item x="148"/>
        <item x="147"/>
        <item x="149"/>
        <item x="91"/>
        <item x="60"/>
        <item x="92"/>
        <item x="15"/>
        <item x="23"/>
        <item x="77"/>
        <item x="75"/>
        <item x="21"/>
        <item x="109"/>
        <item x="76"/>
        <item x="98"/>
        <item x="105"/>
        <item x="95"/>
        <item x="116"/>
        <item x="132"/>
        <item x="96"/>
        <item x="102"/>
        <item x="127"/>
        <item x="140"/>
        <item x="120"/>
        <item x="103"/>
        <item x="117"/>
        <item x="122"/>
        <item x="121"/>
        <item x="123"/>
        <item x="104"/>
        <item x="97"/>
        <item x="125"/>
        <item x="107"/>
        <item x="22"/>
        <item x="63"/>
        <item x="2"/>
        <item x="16"/>
        <item x="44"/>
        <item x="66"/>
        <item x="59"/>
        <item x="74"/>
        <item x="55"/>
        <item x="48"/>
        <item x="45"/>
        <item x="46"/>
        <item x="84"/>
        <item x="26"/>
        <item x="99"/>
        <item x="126"/>
        <item x="73"/>
        <item x="56"/>
        <item x="61"/>
        <item x="19"/>
        <item x="13"/>
        <item x="3"/>
        <item x="115"/>
        <item x="31"/>
        <item x="58"/>
        <item x="62"/>
        <item x="64"/>
        <item x="8"/>
        <item x="146"/>
        <item x="139"/>
        <item x="129"/>
        <item x="118"/>
        <item x="137"/>
        <item x="130"/>
        <item x="144"/>
        <item x="138"/>
        <item x="114"/>
        <item x="141"/>
        <item x="106"/>
        <item x="108"/>
        <item x="4"/>
        <item x="83"/>
        <item x="80"/>
        <item x="37"/>
        <item x="86"/>
        <item x="110"/>
        <item x="131"/>
        <item x="1"/>
        <item x="33"/>
        <item x="25"/>
        <item x="17"/>
        <item x="5"/>
        <item x="40"/>
        <item x="82"/>
        <item x="142"/>
        <item x="111"/>
        <item x="11"/>
        <item x="0"/>
        <item x="151"/>
        <item x="112"/>
        <item x="6"/>
        <item x="145"/>
        <item x="93"/>
        <item x="134"/>
        <item x="136"/>
        <item x="27"/>
        <item x="143"/>
        <item x="113"/>
        <item x="29"/>
        <item x="28"/>
        <item x="67"/>
        <item x="78"/>
        <item x="18"/>
        <item x="51"/>
        <item x="36"/>
        <item x="38"/>
        <item x="32"/>
        <item x="52"/>
        <item x="7"/>
        <item x="54"/>
        <item x="53"/>
        <item x="34"/>
        <item x="20"/>
        <item x="79"/>
        <item x="43"/>
        <item x="14"/>
        <item x="153"/>
        <item x="128"/>
        <item x="88"/>
        <item x="65"/>
        <item x="150"/>
        <item x="119"/>
        <item x="135"/>
        <item x="41"/>
        <item x="39"/>
        <item x="35"/>
        <item x="24"/>
        <item x="49"/>
        <item x="50"/>
        <item x="47"/>
        <item x="42"/>
        <item x="152"/>
        <item x="90"/>
        <item x="12"/>
        <item x="133"/>
        <item x="81"/>
        <item x="9"/>
        <item x="101"/>
        <item x="161"/>
        <item x="179"/>
        <item x="253"/>
        <item x="333"/>
        <item x="245"/>
        <item x="276"/>
        <item x="321"/>
        <item x="163"/>
        <item x="296"/>
        <item x="212"/>
        <item x="271"/>
        <item x="356"/>
        <item x="164"/>
        <item x="165"/>
        <item x="385"/>
        <item x="258"/>
        <item x="366"/>
        <item x="175"/>
        <item x="336"/>
        <item x="274"/>
        <item x="334"/>
        <item x="284"/>
        <item x="230"/>
        <item x="314"/>
        <item x="190"/>
        <item x="229"/>
        <item x="185"/>
        <item x="342"/>
        <item x="263"/>
        <item x="250"/>
        <item x="182"/>
        <item x="183"/>
        <item x="180"/>
        <item x="181"/>
        <item x="237"/>
        <item x="262"/>
        <item x="197"/>
        <item x="194"/>
        <item x="187"/>
        <item x="235"/>
        <item x="217"/>
        <item x="219"/>
        <item x="309"/>
        <item x="254"/>
        <item x="255"/>
        <item x="227"/>
        <item x="248"/>
        <item x="290"/>
        <item x="300"/>
        <item x="368"/>
        <item x="319"/>
        <item x="367"/>
        <item x="378"/>
        <item x="337"/>
        <item x="238"/>
        <item x="239"/>
        <item x="287"/>
        <item x="281"/>
        <item x="173"/>
        <item x="304"/>
        <item x="343"/>
        <item x="167"/>
        <item x="249"/>
        <item x="351"/>
        <item x="202"/>
        <item x="387"/>
        <item x="193"/>
        <item x="362"/>
        <item x="257"/>
        <item x="369"/>
        <item x="371"/>
        <item x="178"/>
        <item x="322"/>
        <item x="310"/>
        <item x="313"/>
        <item x="390"/>
        <item x="323"/>
        <item x="282"/>
        <item x="261"/>
        <item x="168"/>
        <item x="280"/>
        <item x="247"/>
        <item x="363"/>
        <item x="228"/>
        <item x="325"/>
        <item x="191"/>
        <item x="211"/>
        <item x="155"/>
        <item x="184"/>
        <item x="231"/>
        <item x="224"/>
        <item x="200"/>
        <item x="207"/>
        <item x="272"/>
        <item x="156"/>
        <item x="388"/>
        <item x="389"/>
        <item x="374"/>
        <item x="216"/>
        <item x="252"/>
        <item x="188"/>
        <item x="154"/>
        <item x="236"/>
        <item x="275"/>
        <item x="251"/>
        <item x="174"/>
        <item x="186"/>
        <item x="260"/>
        <item x="177"/>
        <item x="176"/>
        <item x="223"/>
        <item x="380"/>
        <item x="201"/>
        <item x="220"/>
        <item x="169"/>
        <item x="259"/>
        <item x="221"/>
        <item x="208"/>
        <item x="222"/>
        <item x="215"/>
        <item x="264"/>
        <item x="278"/>
        <item x="375"/>
        <item x="268"/>
        <item x="243"/>
        <item x="199"/>
        <item x="214"/>
        <item x="273"/>
        <item x="196"/>
        <item x="218"/>
        <item x="256"/>
        <item x="195"/>
        <item x="225"/>
        <item x="373"/>
        <item x="370"/>
        <item x="379"/>
        <item x="171"/>
        <item x="209"/>
        <item x="205"/>
        <item x="206"/>
        <item x="213"/>
        <item x="364"/>
        <item x="294"/>
        <item x="203"/>
        <item x="246"/>
        <item x="344"/>
        <item x="292"/>
        <item x="293"/>
        <item x="289"/>
        <item x="358"/>
        <item x="328"/>
        <item x="372"/>
        <item x="279"/>
        <item x="365"/>
        <item x="283"/>
        <item x="376"/>
        <item x="357"/>
        <item x="267"/>
        <item x="233"/>
        <item x="350"/>
        <item x="349"/>
        <item x="327"/>
        <item x="311"/>
        <item x="226"/>
        <item x="299"/>
        <item x="316"/>
        <item x="291"/>
        <item x="244"/>
        <item x="297"/>
        <item x="359"/>
        <item x="335"/>
        <item x="192"/>
        <item x="317"/>
        <item x="315"/>
        <item x="234"/>
        <item x="277"/>
        <item x="158"/>
        <item x="347"/>
        <item x="345"/>
        <item x="353"/>
        <item x="348"/>
        <item x="346"/>
        <item x="352"/>
        <item x="354"/>
        <item x="286"/>
        <item x="331"/>
        <item x="305"/>
        <item x="330"/>
        <item x="170"/>
        <item x="240"/>
        <item x="338"/>
        <item x="360"/>
        <item x="329"/>
        <item x="295"/>
        <item x="285"/>
        <item x="242"/>
        <item x="157"/>
        <item x="320"/>
        <item x="204"/>
        <item x="332"/>
        <item x="355"/>
        <item x="361"/>
        <item x="386"/>
        <item x="377"/>
        <item x="308"/>
        <item x="172"/>
        <item x="189"/>
        <item x="301"/>
        <item x="339"/>
        <item x="341"/>
        <item x="340"/>
        <item x="269"/>
        <item x="306"/>
        <item x="288"/>
        <item x="384"/>
        <item x="307"/>
        <item x="318"/>
        <item x="270"/>
        <item x="391"/>
        <item t="default"/>
      </items>
    </pivotField>
    <pivotField showAll="0"/>
  </pivotFields>
  <rowFields count="1">
    <field x="1"/>
  </rowFields>
  <rowItems count="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t="grand">
      <x/>
    </i>
  </rowItems>
  <colFields count="1">
    <field x="5"/>
  </colFields>
  <colItems count="3">
    <i>
      <x/>
    </i>
    <i>
      <x v="1"/>
    </i>
    <i t="grand">
      <x/>
    </i>
  </colItems>
  <pageFields count="2">
    <pageField fld="2" hier="-1"/>
    <pageField fld="6" hier="-1"/>
  </pageFields>
  <dataFields count="1">
    <dataField name="Count of Table 1-Level 3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BAB8C-77D1-467E-A3EA-48107CE6C762}">
  <dimension ref="A1:D88"/>
  <sheetViews>
    <sheetView workbookViewId="0">
      <selection activeCell="A55" sqref="A55"/>
    </sheetView>
  </sheetViews>
  <sheetFormatPr defaultRowHeight="15" x14ac:dyDescent="0.25"/>
  <cols>
    <col min="1" max="1" width="191.42578125" bestFit="1" customWidth="1"/>
    <col min="2" max="2" width="16.28515625" bestFit="1" customWidth="1"/>
    <col min="3" max="3" width="4" bestFit="1" customWidth="1"/>
    <col min="4" max="5" width="11.28515625" bestFit="1" customWidth="1"/>
  </cols>
  <sheetData>
    <row r="1" spans="1:4" x14ac:dyDescent="0.25">
      <c r="A1" s="2" t="s">
        <v>1</v>
      </c>
      <c r="B1" t="s">
        <v>1464</v>
      </c>
    </row>
    <row r="2" spans="1:4" x14ac:dyDescent="0.25">
      <c r="A2" s="2" t="s">
        <v>826</v>
      </c>
      <c r="B2" t="s">
        <v>1464</v>
      </c>
    </row>
    <row r="4" spans="1:4" x14ac:dyDescent="0.25">
      <c r="A4" s="2" t="s">
        <v>1463</v>
      </c>
      <c r="B4" s="2" t="s">
        <v>1462</v>
      </c>
    </row>
    <row r="5" spans="1:4" x14ac:dyDescent="0.25">
      <c r="A5" s="2" t="s">
        <v>1460</v>
      </c>
      <c r="B5" t="s">
        <v>18</v>
      </c>
      <c r="C5" t="s">
        <v>9</v>
      </c>
      <c r="D5" t="s">
        <v>1461</v>
      </c>
    </row>
    <row r="6" spans="1:4" x14ac:dyDescent="0.25">
      <c r="A6" s="3" t="s">
        <v>1355</v>
      </c>
      <c r="B6" s="4"/>
      <c r="C6" s="4">
        <v>2</v>
      </c>
      <c r="D6" s="4">
        <v>2</v>
      </c>
    </row>
    <row r="7" spans="1:4" x14ac:dyDescent="0.25">
      <c r="A7" s="3" t="s">
        <v>1332</v>
      </c>
      <c r="B7" s="4"/>
      <c r="C7" s="4">
        <v>4</v>
      </c>
      <c r="D7" s="4">
        <v>4</v>
      </c>
    </row>
    <row r="8" spans="1:4" x14ac:dyDescent="0.25">
      <c r="A8" s="3" t="s">
        <v>1415</v>
      </c>
      <c r="B8" s="4">
        <v>2</v>
      </c>
      <c r="C8" s="4"/>
      <c r="D8" s="4">
        <v>2</v>
      </c>
    </row>
    <row r="9" spans="1:4" x14ac:dyDescent="0.25">
      <c r="A9" s="3" t="s">
        <v>1182</v>
      </c>
      <c r="B9" s="4"/>
      <c r="C9" s="4">
        <v>11</v>
      </c>
      <c r="D9" s="4">
        <v>11</v>
      </c>
    </row>
    <row r="10" spans="1:4" x14ac:dyDescent="0.25">
      <c r="A10" s="3" t="s">
        <v>1152</v>
      </c>
      <c r="B10" s="4">
        <v>1</v>
      </c>
      <c r="C10" s="4">
        <v>7</v>
      </c>
      <c r="D10" s="4">
        <v>8</v>
      </c>
    </row>
    <row r="11" spans="1:4" x14ac:dyDescent="0.25">
      <c r="A11" s="3" t="s">
        <v>1180</v>
      </c>
      <c r="B11" s="4"/>
      <c r="C11" s="4">
        <v>6</v>
      </c>
      <c r="D11" s="4">
        <v>6</v>
      </c>
    </row>
    <row r="12" spans="1:4" x14ac:dyDescent="0.25">
      <c r="A12" s="3" t="s">
        <v>1154</v>
      </c>
      <c r="B12" s="4"/>
      <c r="C12" s="4">
        <v>1</v>
      </c>
      <c r="D12" s="4">
        <v>1</v>
      </c>
    </row>
    <row r="13" spans="1:4" x14ac:dyDescent="0.25">
      <c r="A13" s="3" t="s">
        <v>1337</v>
      </c>
      <c r="B13" s="4"/>
      <c r="C13" s="4">
        <v>4</v>
      </c>
      <c r="D13" s="4">
        <v>4</v>
      </c>
    </row>
    <row r="14" spans="1:4" x14ac:dyDescent="0.25">
      <c r="A14" s="3" t="s">
        <v>1339</v>
      </c>
      <c r="B14" s="4"/>
      <c r="C14" s="4">
        <v>4</v>
      </c>
      <c r="D14" s="4">
        <v>4</v>
      </c>
    </row>
    <row r="15" spans="1:4" x14ac:dyDescent="0.25">
      <c r="A15" s="3" t="s">
        <v>1371</v>
      </c>
      <c r="B15" s="4"/>
      <c r="C15" s="4">
        <v>1</v>
      </c>
      <c r="D15" s="4">
        <v>1</v>
      </c>
    </row>
    <row r="16" spans="1:4" x14ac:dyDescent="0.25">
      <c r="A16" s="3" t="s">
        <v>1363</v>
      </c>
      <c r="B16" s="4"/>
      <c r="C16" s="4">
        <v>3</v>
      </c>
      <c r="D16" s="4">
        <v>3</v>
      </c>
    </row>
    <row r="17" spans="1:4" x14ac:dyDescent="0.25">
      <c r="A17" s="3" t="s">
        <v>1324</v>
      </c>
      <c r="B17" s="4"/>
      <c r="C17" s="4">
        <v>3</v>
      </c>
      <c r="D17" s="4">
        <v>3</v>
      </c>
    </row>
    <row r="18" spans="1:4" x14ac:dyDescent="0.25">
      <c r="A18" s="3" t="s">
        <v>1367</v>
      </c>
      <c r="B18" s="4">
        <v>1</v>
      </c>
      <c r="C18" s="4"/>
      <c r="D18" s="4">
        <v>1</v>
      </c>
    </row>
    <row r="19" spans="1:4" x14ac:dyDescent="0.25">
      <c r="A19" s="3" t="s">
        <v>1378</v>
      </c>
      <c r="B19" s="4"/>
      <c r="C19" s="4">
        <v>5</v>
      </c>
      <c r="D19" s="4">
        <v>5</v>
      </c>
    </row>
    <row r="20" spans="1:4" x14ac:dyDescent="0.25">
      <c r="A20" s="3" t="s">
        <v>1286</v>
      </c>
      <c r="B20" s="4"/>
      <c r="C20" s="4">
        <v>1</v>
      </c>
      <c r="D20" s="4">
        <v>1</v>
      </c>
    </row>
    <row r="21" spans="1:4" x14ac:dyDescent="0.25">
      <c r="A21" s="3" t="s">
        <v>1312</v>
      </c>
      <c r="B21" s="4"/>
      <c r="C21" s="4">
        <v>1</v>
      </c>
      <c r="D21" s="4">
        <v>1</v>
      </c>
    </row>
    <row r="22" spans="1:4" x14ac:dyDescent="0.25">
      <c r="A22" s="3" t="s">
        <v>1278</v>
      </c>
      <c r="B22" s="4"/>
      <c r="C22" s="4">
        <v>7</v>
      </c>
      <c r="D22" s="4">
        <v>7</v>
      </c>
    </row>
    <row r="23" spans="1:4" x14ac:dyDescent="0.25">
      <c r="A23" s="3" t="s">
        <v>1345</v>
      </c>
      <c r="B23" s="4"/>
      <c r="C23" s="4">
        <v>3</v>
      </c>
      <c r="D23" s="4">
        <v>3</v>
      </c>
    </row>
    <row r="24" spans="1:4" x14ac:dyDescent="0.25">
      <c r="A24" s="3" t="s">
        <v>1341</v>
      </c>
      <c r="B24" s="4"/>
      <c r="C24" s="4">
        <v>4</v>
      </c>
      <c r="D24" s="4">
        <v>4</v>
      </c>
    </row>
    <row r="25" spans="1:4" x14ac:dyDescent="0.25">
      <c r="A25" s="3" t="s">
        <v>1343</v>
      </c>
      <c r="B25" s="4"/>
      <c r="C25" s="4">
        <v>1</v>
      </c>
      <c r="D25" s="4">
        <v>1</v>
      </c>
    </row>
    <row r="26" spans="1:4" x14ac:dyDescent="0.25">
      <c r="A26" s="3" t="s">
        <v>1322</v>
      </c>
      <c r="B26" s="4"/>
      <c r="C26" s="4">
        <v>33</v>
      </c>
      <c r="D26" s="4">
        <v>33</v>
      </c>
    </row>
    <row r="27" spans="1:4" x14ac:dyDescent="0.25">
      <c r="A27" s="3" t="s">
        <v>1352</v>
      </c>
      <c r="B27" s="4">
        <v>1</v>
      </c>
      <c r="C27" s="4">
        <v>2</v>
      </c>
      <c r="D27" s="4">
        <v>3</v>
      </c>
    </row>
    <row r="28" spans="1:4" x14ac:dyDescent="0.25">
      <c r="A28" s="3" t="s">
        <v>1304</v>
      </c>
      <c r="B28" s="4"/>
      <c r="C28" s="4">
        <v>6</v>
      </c>
      <c r="D28" s="4">
        <v>6</v>
      </c>
    </row>
    <row r="29" spans="1:4" x14ac:dyDescent="0.25">
      <c r="A29" s="3" t="s">
        <v>1302</v>
      </c>
      <c r="B29" s="4">
        <v>1</v>
      </c>
      <c r="C29" s="4"/>
      <c r="D29" s="4">
        <v>1</v>
      </c>
    </row>
    <row r="30" spans="1:4" x14ac:dyDescent="0.25">
      <c r="A30" s="3" t="s">
        <v>1373</v>
      </c>
      <c r="B30" s="4">
        <v>1</v>
      </c>
      <c r="C30" s="4">
        <v>2</v>
      </c>
      <c r="D30" s="4">
        <v>3</v>
      </c>
    </row>
    <row r="31" spans="1:4" x14ac:dyDescent="0.25">
      <c r="A31" s="3" t="s">
        <v>1375</v>
      </c>
      <c r="B31" s="4">
        <v>1</v>
      </c>
      <c r="C31" s="4"/>
      <c r="D31" s="4">
        <v>1</v>
      </c>
    </row>
    <row r="32" spans="1:4" x14ac:dyDescent="0.25">
      <c r="A32" s="3" t="s">
        <v>1235</v>
      </c>
      <c r="B32" s="4"/>
      <c r="C32" s="4">
        <v>2</v>
      </c>
      <c r="D32" s="4">
        <v>2</v>
      </c>
    </row>
    <row r="33" spans="1:4" x14ac:dyDescent="0.25">
      <c r="A33" s="3" t="s">
        <v>1328</v>
      </c>
      <c r="B33" s="4"/>
      <c r="C33" s="4">
        <v>3</v>
      </c>
      <c r="D33" s="4">
        <v>3</v>
      </c>
    </row>
    <row r="34" spans="1:4" x14ac:dyDescent="0.25">
      <c r="A34" s="3" t="s">
        <v>1348</v>
      </c>
      <c r="B34" s="4"/>
      <c r="C34" s="4">
        <v>2</v>
      </c>
      <c r="D34" s="4">
        <v>2</v>
      </c>
    </row>
    <row r="35" spans="1:4" x14ac:dyDescent="0.25">
      <c r="A35" s="3" t="s">
        <v>1350</v>
      </c>
      <c r="B35" s="4"/>
      <c r="C35" s="4">
        <v>5</v>
      </c>
      <c r="D35" s="4">
        <v>5</v>
      </c>
    </row>
    <row r="36" spans="1:4" x14ac:dyDescent="0.25">
      <c r="A36" s="3" t="s">
        <v>1190</v>
      </c>
      <c r="B36" s="4">
        <v>1</v>
      </c>
      <c r="C36" s="4"/>
      <c r="D36" s="4">
        <v>1</v>
      </c>
    </row>
    <row r="37" spans="1:4" x14ac:dyDescent="0.25">
      <c r="A37" s="3" t="s">
        <v>1458</v>
      </c>
      <c r="B37" s="4">
        <v>1</v>
      </c>
      <c r="C37" s="4"/>
      <c r="D37" s="4">
        <v>1</v>
      </c>
    </row>
    <row r="38" spans="1:4" x14ac:dyDescent="0.25">
      <c r="A38" s="3" t="s">
        <v>1306</v>
      </c>
      <c r="B38" s="4"/>
      <c r="C38" s="4">
        <v>4</v>
      </c>
      <c r="D38" s="4">
        <v>4</v>
      </c>
    </row>
    <row r="39" spans="1:4" x14ac:dyDescent="0.25">
      <c r="A39" s="3" t="s">
        <v>1369</v>
      </c>
      <c r="B39" s="4">
        <v>1</v>
      </c>
      <c r="C39" s="4"/>
      <c r="D39" s="4">
        <v>1</v>
      </c>
    </row>
    <row r="40" spans="1:4" x14ac:dyDescent="0.25">
      <c r="A40" s="3" t="s">
        <v>1310</v>
      </c>
      <c r="B40" s="4"/>
      <c r="C40" s="4">
        <v>2</v>
      </c>
      <c r="D40" s="4">
        <v>2</v>
      </c>
    </row>
    <row r="41" spans="1:4" x14ac:dyDescent="0.25">
      <c r="A41" s="3" t="s">
        <v>1089</v>
      </c>
      <c r="B41" s="4"/>
      <c r="C41" s="4">
        <v>1</v>
      </c>
      <c r="D41" s="4">
        <v>1</v>
      </c>
    </row>
    <row r="42" spans="1:4" x14ac:dyDescent="0.25">
      <c r="A42" s="3" t="s">
        <v>1444</v>
      </c>
      <c r="B42" s="4"/>
      <c r="C42" s="4">
        <v>1</v>
      </c>
      <c r="D42" s="4">
        <v>1</v>
      </c>
    </row>
    <row r="43" spans="1:4" x14ac:dyDescent="0.25">
      <c r="A43" s="3" t="s">
        <v>1135</v>
      </c>
      <c r="B43" s="4"/>
      <c r="C43" s="4">
        <v>1</v>
      </c>
      <c r="D43" s="4">
        <v>1</v>
      </c>
    </row>
    <row r="44" spans="1:4" x14ac:dyDescent="0.25">
      <c r="A44" s="3" t="s">
        <v>1011</v>
      </c>
      <c r="B44" s="4">
        <v>1</v>
      </c>
      <c r="C44" s="4">
        <v>2</v>
      </c>
      <c r="D44" s="4">
        <v>3</v>
      </c>
    </row>
    <row r="45" spans="1:4" x14ac:dyDescent="0.25">
      <c r="A45" s="3" t="s">
        <v>1039</v>
      </c>
      <c r="B45" s="4">
        <v>1</v>
      </c>
      <c r="C45" s="4"/>
      <c r="D45" s="4">
        <v>1</v>
      </c>
    </row>
    <row r="46" spans="1:4" x14ac:dyDescent="0.25">
      <c r="A46" s="3" t="s">
        <v>1185</v>
      </c>
      <c r="B46" s="4">
        <v>1</v>
      </c>
      <c r="C46" s="4"/>
      <c r="D46" s="4">
        <v>1</v>
      </c>
    </row>
    <row r="47" spans="1:4" x14ac:dyDescent="0.25">
      <c r="A47" s="3" t="s">
        <v>1023</v>
      </c>
      <c r="B47" s="4"/>
      <c r="C47" s="4">
        <v>1</v>
      </c>
      <c r="D47" s="4">
        <v>1</v>
      </c>
    </row>
    <row r="48" spans="1:4" x14ac:dyDescent="0.25">
      <c r="A48" s="3" t="s">
        <v>1122</v>
      </c>
      <c r="B48" s="4">
        <v>1</v>
      </c>
      <c r="C48" s="4"/>
      <c r="D48" s="4">
        <v>1</v>
      </c>
    </row>
    <row r="49" spans="1:4" x14ac:dyDescent="0.25">
      <c r="A49" s="3" t="s">
        <v>1141</v>
      </c>
      <c r="B49" s="4"/>
      <c r="C49" s="4">
        <v>22</v>
      </c>
      <c r="D49" s="4">
        <v>22</v>
      </c>
    </row>
    <row r="50" spans="1:4" x14ac:dyDescent="0.25">
      <c r="A50" s="3" t="s">
        <v>1164</v>
      </c>
      <c r="B50" s="4"/>
      <c r="C50" s="4">
        <v>12</v>
      </c>
      <c r="D50" s="4">
        <v>12</v>
      </c>
    </row>
    <row r="51" spans="1:4" x14ac:dyDescent="0.25">
      <c r="A51" s="3" t="s">
        <v>1156</v>
      </c>
      <c r="B51" s="4"/>
      <c r="C51" s="4">
        <v>1</v>
      </c>
      <c r="D51" s="4">
        <v>1</v>
      </c>
    </row>
    <row r="52" spans="1:4" x14ac:dyDescent="0.25">
      <c r="A52" s="3" t="s">
        <v>1158</v>
      </c>
      <c r="B52" s="4"/>
      <c r="C52" s="4">
        <v>3</v>
      </c>
      <c r="D52" s="4">
        <v>3</v>
      </c>
    </row>
    <row r="53" spans="1:4" x14ac:dyDescent="0.25">
      <c r="A53" s="3" t="s">
        <v>1160</v>
      </c>
      <c r="B53" s="4"/>
      <c r="C53" s="4">
        <v>3</v>
      </c>
      <c r="D53" s="4">
        <v>3</v>
      </c>
    </row>
    <row r="54" spans="1:4" x14ac:dyDescent="0.25">
      <c r="A54" s="3" t="s">
        <v>1139</v>
      </c>
      <c r="B54" s="4"/>
      <c r="C54" s="4">
        <v>10</v>
      </c>
      <c r="D54" s="4">
        <v>10</v>
      </c>
    </row>
    <row r="55" spans="1:4" x14ac:dyDescent="0.25">
      <c r="A55" s="3" t="s">
        <v>1162</v>
      </c>
      <c r="B55" s="4"/>
      <c r="C55" s="4">
        <v>29</v>
      </c>
      <c r="D55" s="4">
        <v>29</v>
      </c>
    </row>
    <row r="56" spans="1:4" x14ac:dyDescent="0.25">
      <c r="A56" s="3" t="s">
        <v>1150</v>
      </c>
      <c r="B56" s="4"/>
      <c r="C56" s="4">
        <v>12</v>
      </c>
      <c r="D56" s="4">
        <v>12</v>
      </c>
    </row>
    <row r="57" spans="1:4" x14ac:dyDescent="0.25">
      <c r="A57" s="3" t="s">
        <v>1326</v>
      </c>
      <c r="B57" s="4"/>
      <c r="C57" s="4">
        <v>7</v>
      </c>
      <c r="D57" s="4">
        <v>7</v>
      </c>
    </row>
    <row r="58" spans="1:4" x14ac:dyDescent="0.25">
      <c r="A58" s="3" t="s">
        <v>1365</v>
      </c>
      <c r="B58" s="4">
        <v>1</v>
      </c>
      <c r="C58" s="4">
        <v>1</v>
      </c>
      <c r="D58" s="4">
        <v>2</v>
      </c>
    </row>
    <row r="59" spans="1:4" x14ac:dyDescent="0.25">
      <c r="A59" s="3" t="s">
        <v>1081</v>
      </c>
      <c r="B59" s="4"/>
      <c r="C59" s="4">
        <v>3</v>
      </c>
      <c r="D59" s="4">
        <v>3</v>
      </c>
    </row>
    <row r="60" spans="1:4" x14ac:dyDescent="0.25">
      <c r="A60" s="3" t="s">
        <v>1085</v>
      </c>
      <c r="B60" s="4"/>
      <c r="C60" s="4">
        <v>2</v>
      </c>
      <c r="D60" s="4">
        <v>2</v>
      </c>
    </row>
    <row r="61" spans="1:4" x14ac:dyDescent="0.25">
      <c r="A61" s="3" t="s">
        <v>1083</v>
      </c>
      <c r="B61" s="4"/>
      <c r="C61" s="4">
        <v>9</v>
      </c>
      <c r="D61" s="4">
        <v>9</v>
      </c>
    </row>
    <row r="62" spans="1:4" x14ac:dyDescent="0.25">
      <c r="A62" s="3" t="s">
        <v>1087</v>
      </c>
      <c r="B62" s="4"/>
      <c r="C62" s="4">
        <v>8</v>
      </c>
      <c r="D62" s="4">
        <v>8</v>
      </c>
    </row>
    <row r="63" spans="1:4" x14ac:dyDescent="0.25">
      <c r="A63" s="3" t="s">
        <v>1067</v>
      </c>
      <c r="B63" s="4">
        <v>1</v>
      </c>
      <c r="C63" s="4">
        <v>4</v>
      </c>
      <c r="D63" s="4">
        <v>5</v>
      </c>
    </row>
    <row r="64" spans="1:4" x14ac:dyDescent="0.25">
      <c r="A64" s="3" t="s">
        <v>1300</v>
      </c>
      <c r="B64" s="4">
        <v>1</v>
      </c>
      <c r="C64" s="4">
        <v>4</v>
      </c>
      <c r="D64" s="4">
        <v>5</v>
      </c>
    </row>
    <row r="65" spans="1:4" x14ac:dyDescent="0.25">
      <c r="A65" s="3" t="s">
        <v>1276</v>
      </c>
      <c r="B65" s="4"/>
      <c r="C65" s="4">
        <v>11</v>
      </c>
      <c r="D65" s="4">
        <v>11</v>
      </c>
    </row>
    <row r="66" spans="1:4" x14ac:dyDescent="0.25">
      <c r="A66" s="3" t="s">
        <v>1144</v>
      </c>
      <c r="B66" s="4"/>
      <c r="C66" s="4">
        <v>2</v>
      </c>
      <c r="D66" s="4">
        <v>2</v>
      </c>
    </row>
    <row r="67" spans="1:4" x14ac:dyDescent="0.25">
      <c r="A67" s="3" t="s">
        <v>1169</v>
      </c>
      <c r="B67" s="4"/>
      <c r="C67" s="4">
        <v>1</v>
      </c>
      <c r="D67" s="4">
        <v>1</v>
      </c>
    </row>
    <row r="68" spans="1:4" x14ac:dyDescent="0.25">
      <c r="A68" s="3" t="s">
        <v>1298</v>
      </c>
      <c r="B68" s="4"/>
      <c r="C68" s="4">
        <v>9</v>
      </c>
      <c r="D68" s="4">
        <v>9</v>
      </c>
    </row>
    <row r="69" spans="1:4" x14ac:dyDescent="0.25">
      <c r="A69" s="3" t="s">
        <v>1288</v>
      </c>
      <c r="B69" s="4">
        <v>1</v>
      </c>
      <c r="C69" s="4">
        <v>23</v>
      </c>
      <c r="D69" s="4">
        <v>24</v>
      </c>
    </row>
    <row r="70" spans="1:4" x14ac:dyDescent="0.25">
      <c r="A70" s="3" t="s">
        <v>1308</v>
      </c>
      <c r="B70" s="4"/>
      <c r="C70" s="4">
        <v>4</v>
      </c>
      <c r="D70" s="4">
        <v>4</v>
      </c>
    </row>
    <row r="71" spans="1:4" x14ac:dyDescent="0.25">
      <c r="A71" s="3" t="s">
        <v>1290</v>
      </c>
      <c r="B71" s="4"/>
      <c r="C71" s="4">
        <v>9</v>
      </c>
      <c r="D71" s="4">
        <v>9</v>
      </c>
    </row>
    <row r="72" spans="1:4" x14ac:dyDescent="0.25">
      <c r="A72" s="3" t="s">
        <v>1296</v>
      </c>
      <c r="B72" s="4"/>
      <c r="C72" s="4">
        <v>6</v>
      </c>
      <c r="D72" s="4">
        <v>6</v>
      </c>
    </row>
    <row r="73" spans="1:4" x14ac:dyDescent="0.25">
      <c r="A73" s="3" t="s">
        <v>1438</v>
      </c>
      <c r="B73" s="4">
        <v>1</v>
      </c>
      <c r="C73" s="4"/>
      <c r="D73" s="4">
        <v>1</v>
      </c>
    </row>
    <row r="74" spans="1:4" x14ac:dyDescent="0.25">
      <c r="A74" s="3" t="s">
        <v>1128</v>
      </c>
      <c r="B74" s="4"/>
      <c r="C74" s="4">
        <v>2</v>
      </c>
      <c r="D74" s="4">
        <v>2</v>
      </c>
    </row>
    <row r="75" spans="1:4" x14ac:dyDescent="0.25">
      <c r="A75" s="3" t="s">
        <v>1440</v>
      </c>
      <c r="B75" s="4">
        <v>1</v>
      </c>
      <c r="C75" s="4"/>
      <c r="D75" s="4">
        <v>1</v>
      </c>
    </row>
    <row r="76" spans="1:4" x14ac:dyDescent="0.25">
      <c r="A76" s="3" t="s">
        <v>1217</v>
      </c>
      <c r="B76" s="4"/>
      <c r="C76" s="4">
        <v>2</v>
      </c>
      <c r="D76" s="4">
        <v>2</v>
      </c>
    </row>
    <row r="77" spans="1:4" x14ac:dyDescent="0.25">
      <c r="A77" s="3" t="s">
        <v>1187</v>
      </c>
      <c r="B77" s="4">
        <v>1</v>
      </c>
      <c r="C77" s="4"/>
      <c r="D77" s="4">
        <v>1</v>
      </c>
    </row>
    <row r="78" spans="1:4" x14ac:dyDescent="0.25">
      <c r="A78" s="3" t="s">
        <v>1442</v>
      </c>
      <c r="B78" s="4">
        <v>1</v>
      </c>
      <c r="C78" s="4"/>
      <c r="D78" s="4">
        <v>1</v>
      </c>
    </row>
    <row r="79" spans="1:4" x14ac:dyDescent="0.25">
      <c r="A79" s="3" t="s">
        <v>1330</v>
      </c>
      <c r="B79" s="4"/>
      <c r="C79" s="4">
        <v>2</v>
      </c>
      <c r="D79" s="4">
        <v>2</v>
      </c>
    </row>
    <row r="80" spans="1:4" x14ac:dyDescent="0.25">
      <c r="A80" s="3" t="s">
        <v>1318</v>
      </c>
      <c r="B80" s="4"/>
      <c r="C80" s="4">
        <v>2</v>
      </c>
      <c r="D80" s="4">
        <v>2</v>
      </c>
    </row>
    <row r="81" spans="1:4" x14ac:dyDescent="0.25">
      <c r="A81" s="3" t="s">
        <v>1320</v>
      </c>
      <c r="B81" s="4"/>
      <c r="C81" s="4">
        <v>2</v>
      </c>
      <c r="D81" s="4">
        <v>2</v>
      </c>
    </row>
    <row r="82" spans="1:4" x14ac:dyDescent="0.25">
      <c r="A82" s="3" t="s">
        <v>1316</v>
      </c>
      <c r="B82" s="4"/>
      <c r="C82" s="4">
        <v>11</v>
      </c>
      <c r="D82" s="4">
        <v>11</v>
      </c>
    </row>
    <row r="83" spans="1:4" x14ac:dyDescent="0.25">
      <c r="A83" s="3" t="s">
        <v>1314</v>
      </c>
      <c r="B83" s="4"/>
      <c r="C83" s="4">
        <v>4</v>
      </c>
      <c r="D83" s="4">
        <v>4</v>
      </c>
    </row>
    <row r="84" spans="1:4" x14ac:dyDescent="0.25">
      <c r="A84" s="3" t="s">
        <v>1417</v>
      </c>
      <c r="B84" s="4"/>
      <c r="C84" s="4">
        <v>4</v>
      </c>
      <c r="D84" s="4">
        <v>4</v>
      </c>
    </row>
    <row r="85" spans="1:4" x14ac:dyDescent="0.25">
      <c r="A85" s="3" t="s">
        <v>1425</v>
      </c>
      <c r="B85" s="4"/>
      <c r="C85" s="4">
        <v>1</v>
      </c>
      <c r="D85" s="4">
        <v>1</v>
      </c>
    </row>
    <row r="86" spans="1:4" x14ac:dyDescent="0.25">
      <c r="A86" s="3" t="s">
        <v>1427</v>
      </c>
      <c r="B86" s="4"/>
      <c r="C86" s="4">
        <v>4</v>
      </c>
      <c r="D86" s="4">
        <v>4</v>
      </c>
    </row>
    <row r="87" spans="1:4" x14ac:dyDescent="0.25">
      <c r="A87" s="3" t="s">
        <v>1429</v>
      </c>
      <c r="B87" s="4"/>
      <c r="C87" s="4">
        <v>5</v>
      </c>
      <c r="D87" s="4">
        <v>5</v>
      </c>
    </row>
    <row r="88" spans="1:4" x14ac:dyDescent="0.25">
      <c r="A88" s="3" t="s">
        <v>1461</v>
      </c>
      <c r="B88" s="4">
        <v>23</v>
      </c>
      <c r="C88" s="4">
        <v>369</v>
      </c>
      <c r="D88" s="4">
        <v>392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A2538-6A8C-4BCF-BB89-78F54A44F5FB}">
  <dimension ref="A1:H393"/>
  <sheetViews>
    <sheetView workbookViewId="0">
      <selection sqref="A1:XFD1048576"/>
    </sheetView>
  </sheetViews>
  <sheetFormatPr defaultRowHeight="15" x14ac:dyDescent="0.25"/>
  <cols>
    <col min="1" max="1" width="16.5703125" bestFit="1" customWidth="1"/>
    <col min="2" max="2" width="191.42578125" bestFit="1" customWidth="1"/>
    <col min="3" max="3" width="15.85546875" bestFit="1" customWidth="1"/>
    <col min="4" max="4" width="28.7109375" style="1" customWidth="1"/>
    <col min="5" max="5" width="26.42578125" bestFit="1" customWidth="1"/>
    <col min="6" max="6" width="9" bestFit="1" customWidth="1"/>
    <col min="7" max="7" width="255.7109375" bestFit="1" customWidth="1"/>
    <col min="8" max="8" width="49" bestFit="1" customWidth="1"/>
  </cols>
  <sheetData>
    <row r="1" spans="1:8" x14ac:dyDescent="0.25">
      <c r="A1" t="s">
        <v>0</v>
      </c>
      <c r="B1" t="s">
        <v>1459</v>
      </c>
      <c r="C1" t="s">
        <v>1</v>
      </c>
      <c r="D1" s="1" t="s">
        <v>2</v>
      </c>
      <c r="E1" t="s">
        <v>3</v>
      </c>
      <c r="F1" t="s">
        <v>4</v>
      </c>
      <c r="G1" t="s">
        <v>826</v>
      </c>
      <c r="H1" t="s">
        <v>995</v>
      </c>
    </row>
    <row r="2" spans="1:8" x14ac:dyDescent="0.25">
      <c r="A2" t="s">
        <v>5</v>
      </c>
      <c r="B2" t="str">
        <f>VLOOKUP(A2,IDE_ConOps_4_3_Model_LVL3!C:H,6,FALSE)</f>
        <v>The IDE shall provide a 'Consolidated Admin Interface' as a secure, web-based UI to provide a single pane of glass for L1/L2 administrative tasks.</v>
      </c>
      <c r="C2" t="s">
        <v>6</v>
      </c>
      <c r="D2" s="1" t="s">
        <v>7</v>
      </c>
      <c r="E2" t="s">
        <v>8</v>
      </c>
      <c r="F2" t="s">
        <v>9</v>
      </c>
      <c r="G2" t="s">
        <v>828</v>
      </c>
      <c r="H2" t="s">
        <v>827</v>
      </c>
    </row>
    <row r="3" spans="1:8" x14ac:dyDescent="0.25">
      <c r="A3" t="s">
        <v>10</v>
      </c>
      <c r="B3" t="str">
        <f>VLOOKUP(A3,IDE_ConOps_4_3_Model_LVL3!C:H,6,FALSE)</f>
        <v>The IDE shall provide a 'Centralized Logging and Monitoring' service as a consolidated pipeline for all security audit events.</v>
      </c>
      <c r="C3" t="s">
        <v>6</v>
      </c>
      <c r="D3" s="1" t="s">
        <v>11</v>
      </c>
      <c r="E3" t="s">
        <v>12</v>
      </c>
      <c r="F3" t="s">
        <v>9</v>
      </c>
      <c r="G3" t="s">
        <v>830</v>
      </c>
      <c r="H3" t="s">
        <v>829</v>
      </c>
    </row>
    <row r="4" spans="1:8" x14ac:dyDescent="0.25">
      <c r="A4" t="s">
        <v>13</v>
      </c>
      <c r="B4" t="str">
        <f>VLOOKUP(A4,IDE_ConOps_4_3_Model_LVL3!C:H,6,FALSE)</f>
        <v>The 'Consolidated Admin Interface' shall provide a module for managing platform-level access permissions.</v>
      </c>
      <c r="C4" t="s">
        <v>6</v>
      </c>
      <c r="D4" s="1" t="s">
        <v>14</v>
      </c>
      <c r="E4" t="s">
        <v>8</v>
      </c>
      <c r="F4" t="s">
        <v>9</v>
      </c>
      <c r="G4" t="s">
        <v>831</v>
      </c>
      <c r="H4" t="s">
        <v>829</v>
      </c>
    </row>
    <row r="5" spans="1:8" x14ac:dyDescent="0.25">
      <c r="A5" t="s">
        <v>15</v>
      </c>
      <c r="B5" t="str">
        <f>VLOOKUP(A5,IDE_ConOps_4_3_Model_LVL3!C:H,6,FALSE)</f>
        <v>The IDE shall provide an 'IDE Migration Utility' with a guided interface to connect to a backup source.</v>
      </c>
      <c r="C5" t="s">
        <v>6</v>
      </c>
      <c r="D5" s="1" t="s">
        <v>16</v>
      </c>
      <c r="E5" t="s">
        <v>17</v>
      </c>
      <c r="F5" t="s">
        <v>18</v>
      </c>
      <c r="G5" t="s">
        <v>833</v>
      </c>
      <c r="H5" t="s">
        <v>832</v>
      </c>
    </row>
    <row r="6" spans="1:8" x14ac:dyDescent="0.25">
      <c r="A6" t="s">
        <v>19</v>
      </c>
      <c r="B6" t="str">
        <f>VLOOKUP(A6,IDE_ConOps_4_3_Model_LVL3!C:H,6,FALSE)</f>
        <v>The IDE shall implement data backup procedures to ensure that authoritative data is securely backed up prior to executing the migration or upgrade.</v>
      </c>
      <c r="C6" t="s">
        <v>6</v>
      </c>
      <c r="D6" s="1" t="s">
        <v>20</v>
      </c>
      <c r="E6" t="s">
        <v>17</v>
      </c>
      <c r="F6" t="s">
        <v>18</v>
      </c>
      <c r="G6" t="s">
        <v>834</v>
      </c>
      <c r="H6" t="s">
        <v>832</v>
      </c>
    </row>
    <row r="7" spans="1:8" x14ac:dyDescent="0.25">
      <c r="A7" t="s">
        <v>21</v>
      </c>
      <c r="B7" t="str">
        <f>VLOOKUP(A7,IDE_ConOps_4_3_Model_LVL3!C:H,6,FALSE)</f>
        <v>The IDE shall maintain auditable logs, ingested by the 'Centralized Logging' service, of all migration and upgrade activities.</v>
      </c>
      <c r="C7" t="s">
        <v>6</v>
      </c>
      <c r="D7" s="1" t="s">
        <v>22</v>
      </c>
      <c r="E7" t="s">
        <v>17</v>
      </c>
      <c r="F7" t="s">
        <v>9</v>
      </c>
      <c r="G7" t="s">
        <v>835</v>
      </c>
      <c r="H7" t="s">
        <v>832</v>
      </c>
    </row>
    <row r="8" spans="1:8" x14ac:dyDescent="0.25">
      <c r="A8" t="s">
        <v>23</v>
      </c>
      <c r="B8" t="str">
        <f>VLOOKUP(A8,IDE_ConOps_4_3_Model_LVL3!C:H,6,FALSE)</f>
        <v>The IDE shall provide post-migration validation tools to ensure all systems and applications are functioning as expected and no data loss has occurred.</v>
      </c>
      <c r="C8" t="s">
        <v>6</v>
      </c>
      <c r="D8" s="1" t="s">
        <v>24</v>
      </c>
      <c r="E8" t="s">
        <v>17</v>
      </c>
      <c r="F8" t="s">
        <v>18</v>
      </c>
      <c r="G8" t="s">
        <v>836</v>
      </c>
      <c r="H8" t="s">
        <v>832</v>
      </c>
    </row>
    <row r="9" spans="1:8" x14ac:dyDescent="0.25">
      <c r="A9" t="s">
        <v>25</v>
      </c>
      <c r="B9" t="str">
        <f>VLOOKUP(A9,IDE_ConOps_4_3_Model_LVL3!C:H,6,FALSE)</f>
        <v>The IDE shall provide a 'pre-validation' tool to inspect source (legacy) environments to evaluate migration effects on systems, applications, and data integrity.</v>
      </c>
      <c r="C9" t="s">
        <v>6</v>
      </c>
      <c r="D9" s="1" t="s">
        <v>26</v>
      </c>
      <c r="E9" t="s">
        <v>17</v>
      </c>
      <c r="F9" t="s">
        <v>18</v>
      </c>
      <c r="G9" t="s">
        <v>837</v>
      </c>
      <c r="H9" t="s">
        <v>832</v>
      </c>
    </row>
    <row r="10" spans="1:8" x14ac:dyDescent="0.25">
      <c r="A10" t="s">
        <v>27</v>
      </c>
      <c r="B10" t="str">
        <f>VLOOKUP(A10,IDE_ConOps_4_3_Model_LVL3!C:H,6,FALSE)</f>
        <v>The IDE shall provide a capability for work and backlog management.</v>
      </c>
      <c r="C10" t="s">
        <v>6</v>
      </c>
      <c r="D10" s="1" t="s">
        <v>28</v>
      </c>
      <c r="E10" t="s">
        <v>29</v>
      </c>
      <c r="F10" t="s">
        <v>9</v>
      </c>
      <c r="G10" t="s">
        <v>838</v>
      </c>
      <c r="H10" t="s">
        <v>832</v>
      </c>
    </row>
    <row r="11" spans="1:8" x14ac:dyDescent="0.25">
      <c r="A11" t="s">
        <v>5</v>
      </c>
      <c r="B11" t="str">
        <f>VLOOKUP(A11,IDE_ConOps_4_3_Model_LVL3!C:H,6,FALSE)</f>
        <v>The IDE shall provide a 'Consolidated Admin Interface' as a secure, web-based UI to provide a single pane of glass for L1/L2 administrative tasks.</v>
      </c>
      <c r="C11" t="s">
        <v>6</v>
      </c>
      <c r="D11" s="1" t="s">
        <v>30</v>
      </c>
      <c r="E11" t="s">
        <v>8</v>
      </c>
      <c r="F11" t="s">
        <v>9</v>
      </c>
      <c r="G11" t="s">
        <v>840</v>
      </c>
      <c r="H11" t="s">
        <v>839</v>
      </c>
    </row>
    <row r="12" spans="1:8" x14ac:dyDescent="0.25">
      <c r="A12" t="s">
        <v>31</v>
      </c>
      <c r="B12" t="str">
        <f>VLOOKUP(A12,IDE_ConOps_4_3_Model_LVL3!C:H,6,FALSE)</f>
        <v>The IDE 'Secure Platform' and 'IDE Capability Layer' components shall be hardened to comply with NIST SP 800-53 (Rev 5).</v>
      </c>
      <c r="C12" t="s">
        <v>6</v>
      </c>
      <c r="D12" s="1" t="s">
        <v>32</v>
      </c>
      <c r="E12" t="s">
        <v>33</v>
      </c>
      <c r="F12" t="s">
        <v>9</v>
      </c>
      <c r="G12" t="s">
        <v>841</v>
      </c>
      <c r="H12" t="s">
        <v>839</v>
      </c>
    </row>
    <row r="13" spans="1:8" x14ac:dyDescent="0.25">
      <c r="A13" t="s">
        <v>34</v>
      </c>
      <c r="B13" t="str">
        <f>VLOOKUP(A13,IDE_ConOps_4_3_Model_LVL3!C:H,6,FALSE)</f>
        <v>The IDE shall provide a 'Centralized Health Dashboard' to display real-time performance status of all platform components.</v>
      </c>
      <c r="C13" t="s">
        <v>6</v>
      </c>
      <c r="D13" s="1" t="s">
        <v>35</v>
      </c>
      <c r="E13" t="s">
        <v>8</v>
      </c>
      <c r="F13" t="s">
        <v>9</v>
      </c>
      <c r="G13" t="s">
        <v>842</v>
      </c>
      <c r="H13" t="s">
        <v>839</v>
      </c>
    </row>
    <row r="14" spans="1:8" x14ac:dyDescent="0.25">
      <c r="A14" t="s">
        <v>5</v>
      </c>
      <c r="B14" t="str">
        <f>VLOOKUP(A14,IDE_ConOps_4_3_Model_LVL3!C:H,6,FALSE)</f>
        <v>The IDE shall provide a 'Consolidated Admin Interface' as a secure, web-based UI to provide a single pane of glass for L1/L2 administrative tasks.</v>
      </c>
      <c r="C14" t="s">
        <v>6</v>
      </c>
      <c r="D14" s="1" t="s">
        <v>36</v>
      </c>
      <c r="E14" t="s">
        <v>8</v>
      </c>
      <c r="F14" t="s">
        <v>9</v>
      </c>
      <c r="G14" t="s">
        <v>843</v>
      </c>
      <c r="H14" t="s">
        <v>839</v>
      </c>
    </row>
    <row r="15" spans="1:8" x14ac:dyDescent="0.25">
      <c r="A15" t="s">
        <v>31</v>
      </c>
      <c r="B15" t="str">
        <f>VLOOKUP(A15,IDE_ConOps_4_3_Model_LVL3!C:H,6,FALSE)</f>
        <v>The IDE 'Secure Platform' and 'IDE Capability Layer' components shall be hardened to comply with NIST SP 800-53 (Rev 5).</v>
      </c>
      <c r="C15" t="s">
        <v>6</v>
      </c>
      <c r="D15" s="1" t="s">
        <v>37</v>
      </c>
      <c r="E15" t="s">
        <v>33</v>
      </c>
      <c r="F15" t="s">
        <v>9</v>
      </c>
      <c r="G15" t="s">
        <v>844</v>
      </c>
      <c r="H15" t="s">
        <v>839</v>
      </c>
    </row>
    <row r="16" spans="1:8" x14ac:dyDescent="0.25">
      <c r="A16" t="s">
        <v>38</v>
      </c>
      <c r="B16" t="str">
        <f>VLOOKUP(A16,IDE_ConOps_4_3_Model_LVL3!C:H,6,FALSE)</f>
        <v>The 'Configuration Portal' shall provide a user-friendly interface for environment setup, configuration, and deployment of IDE instances.</v>
      </c>
      <c r="C16" t="s">
        <v>6</v>
      </c>
      <c r="D16" s="1" t="s">
        <v>39</v>
      </c>
      <c r="E16" t="s">
        <v>40</v>
      </c>
      <c r="F16" t="s">
        <v>18</v>
      </c>
      <c r="G16" t="s">
        <v>845</v>
      </c>
      <c r="H16" t="s">
        <v>839</v>
      </c>
    </row>
    <row r="17" spans="1:8" x14ac:dyDescent="0.25">
      <c r="A17" t="s">
        <v>41</v>
      </c>
      <c r="B17" t="str">
        <f>VLOOKUP(A17,IDE_ConOps_4_3_Model_LVL3!C:H,6,FALSE)</f>
        <v>The IDE shall provide a capability to collect, summarize, and review user feedback regarding product configurations and performance.</v>
      </c>
      <c r="C17" t="s">
        <v>6</v>
      </c>
      <c r="D17" s="1" t="s">
        <v>42</v>
      </c>
      <c r="E17" t="s">
        <v>29</v>
      </c>
      <c r="F17" t="s">
        <v>18</v>
      </c>
      <c r="G17" t="s">
        <v>846</v>
      </c>
      <c r="H17" t="s">
        <v>839</v>
      </c>
    </row>
    <row r="18" spans="1:8" x14ac:dyDescent="0.25">
      <c r="A18" t="s">
        <v>43</v>
      </c>
      <c r="B18" t="str">
        <f>VLOOKUP(A18,IDE_ConOps_4_3_Model_LVL3!C:H,6,FALSE)</f>
        <v>The IDE Factory shall provide a web-based 'Configuration Portal' for customers to configure and procure new IDE Instances and updates.</v>
      </c>
      <c r="C18" t="s">
        <v>6</v>
      </c>
      <c r="D18" s="1" t="s">
        <v>44</v>
      </c>
      <c r="E18" t="s">
        <v>40</v>
      </c>
      <c r="F18" t="s">
        <v>9</v>
      </c>
      <c r="G18" t="s">
        <v>847</v>
      </c>
      <c r="H18" t="s">
        <v>827</v>
      </c>
    </row>
    <row r="19" spans="1:8" x14ac:dyDescent="0.25">
      <c r="A19" t="s">
        <v>10</v>
      </c>
      <c r="B19" t="str">
        <f>VLOOKUP(A19,IDE_ConOps_4_3_Model_LVL3!C:H,6,FALSE)</f>
        <v>The IDE shall provide a 'Centralized Logging and Monitoring' service as a consolidated pipeline for all security audit events.</v>
      </c>
      <c r="C19" t="s">
        <v>6</v>
      </c>
      <c r="D19" s="1" t="s">
        <v>45</v>
      </c>
      <c r="E19" t="s">
        <v>12</v>
      </c>
      <c r="F19" t="s">
        <v>9</v>
      </c>
      <c r="G19" t="s">
        <v>848</v>
      </c>
      <c r="H19" t="s">
        <v>827</v>
      </c>
    </row>
    <row r="20" spans="1:8" x14ac:dyDescent="0.25">
      <c r="A20" t="s">
        <v>38</v>
      </c>
      <c r="B20" t="str">
        <f>VLOOKUP(A20,IDE_ConOps_4_3_Model_LVL3!C:H,6,FALSE)</f>
        <v>The 'Configuration Portal' shall provide a user-friendly interface for environment setup, configuration, and deployment of IDE instances.</v>
      </c>
      <c r="C20" t="s">
        <v>6</v>
      </c>
      <c r="D20" s="1" t="s">
        <v>46</v>
      </c>
      <c r="E20" t="s">
        <v>40</v>
      </c>
      <c r="F20" t="s">
        <v>18</v>
      </c>
      <c r="G20" t="s">
        <v>849</v>
      </c>
      <c r="H20" t="s">
        <v>827</v>
      </c>
    </row>
    <row r="21" spans="1:8" x14ac:dyDescent="0.25">
      <c r="A21" t="s">
        <v>47</v>
      </c>
      <c r="B21" t="str">
        <f>VLOOKUP(A21,IDE_ConOps_4_3_Model_LVL3!C:H,6,FALSE)</f>
        <v>The IDE shall provide a mandated shared service for Centralized Authentication and Authorization (SSO) that functions as an identity broker, connecting to a customer-provided Identity Provider (IdP).</v>
      </c>
      <c r="C21" t="s">
        <v>6</v>
      </c>
      <c r="D21" s="1" t="s">
        <v>48</v>
      </c>
      <c r="E21" t="s">
        <v>49</v>
      </c>
      <c r="F21" t="s">
        <v>9</v>
      </c>
      <c r="G21" t="s">
        <v>850</v>
      </c>
      <c r="H21" t="s">
        <v>827</v>
      </c>
    </row>
    <row r="22" spans="1:8" x14ac:dyDescent="0.25">
      <c r="A22" t="s">
        <v>50</v>
      </c>
      <c r="B22" t="str">
        <f>VLOOKUP(A22,IDE_ConOps_4_3_Model_LVL3!C:H,6,FALSE)</f>
        <v>The IDE shall provide a 'Centralized Health Dashboard' to display real-time health status, performance metrics, and Key Performance Indicators (KPIs) of all platform components.</v>
      </c>
      <c r="C22" t="s">
        <v>6</v>
      </c>
      <c r="D22" s="1" t="s">
        <v>51</v>
      </c>
      <c r="E22" t="s">
        <v>8</v>
      </c>
      <c r="F22" t="s">
        <v>9</v>
      </c>
      <c r="G22" t="s">
        <v>851</v>
      </c>
      <c r="H22" t="s">
        <v>827</v>
      </c>
    </row>
    <row r="23" spans="1:8" x14ac:dyDescent="0.25">
      <c r="A23" t="s">
        <v>31</v>
      </c>
      <c r="B23" t="str">
        <f>VLOOKUP(A23,IDE_ConOps_4_3_Model_LVL3!C:H,6,FALSE)</f>
        <v>The IDE 'Secure Platform' and 'IDE Capability Layer' components shall be hardened to comply with NIST SP 800-53 (Rev 5).</v>
      </c>
      <c r="C23" t="s">
        <v>6</v>
      </c>
      <c r="D23" s="1" t="s">
        <v>52</v>
      </c>
      <c r="E23" t="s">
        <v>33</v>
      </c>
      <c r="F23" t="s">
        <v>9</v>
      </c>
      <c r="G23" t="s">
        <v>852</v>
      </c>
      <c r="H23" t="s">
        <v>827</v>
      </c>
    </row>
    <row r="24" spans="1:8" x14ac:dyDescent="0.25">
      <c r="A24" t="s">
        <v>5</v>
      </c>
      <c r="B24" t="str">
        <f>VLOOKUP(A24,IDE_ConOps_4_3_Model_LVL3!C:H,6,FALSE)</f>
        <v>The IDE shall provide a 'Consolidated Admin Interface' as a secure, web-based UI to provide a single pane of glass for L1/L2 administrative tasks.</v>
      </c>
      <c r="C24" t="s">
        <v>6</v>
      </c>
      <c r="D24" s="1" t="s">
        <v>53</v>
      </c>
      <c r="E24" t="s">
        <v>8</v>
      </c>
      <c r="F24" t="s">
        <v>9</v>
      </c>
      <c r="G24" t="s">
        <v>854</v>
      </c>
      <c r="H24" t="s">
        <v>853</v>
      </c>
    </row>
    <row r="25" spans="1:8" x14ac:dyDescent="0.25">
      <c r="A25" t="s">
        <v>54</v>
      </c>
      <c r="B25" t="str">
        <f>VLOOKUP(A25,IDE_ConOps_4_3_Model_LVL3!C:H,6,FALSE)</f>
        <v>The 'Backup and Recovery' service shall provide an automated backup policy targeting a Recovery Point Objective (RPO) of &lt;= 24 hours for all 'Customer Data' in platform-managed persistent volumes.</v>
      </c>
      <c r="C25" t="s">
        <v>6</v>
      </c>
      <c r="D25" s="1" t="s">
        <v>55</v>
      </c>
      <c r="E25" t="s">
        <v>56</v>
      </c>
      <c r="F25" t="s">
        <v>9</v>
      </c>
      <c r="G25" t="s">
        <v>855</v>
      </c>
      <c r="H25" t="s">
        <v>853</v>
      </c>
    </row>
    <row r="26" spans="1:8" x14ac:dyDescent="0.25">
      <c r="A26" t="s">
        <v>57</v>
      </c>
      <c r="B26" t="str">
        <f>VLOOKUP(A26,IDE_ConOps_4_3_Model_LVL3!C:H,6,FALSE)</f>
        <v>The IDE shall provide a 'full IDE System Restore' capability to restore the platform from an automated backup, as defined in Scenario 5.4.3.</v>
      </c>
      <c r="C26" t="s">
        <v>6</v>
      </c>
      <c r="D26" s="1" t="s">
        <v>58</v>
      </c>
      <c r="E26" t="s">
        <v>59</v>
      </c>
      <c r="F26" t="s">
        <v>9</v>
      </c>
      <c r="G26" t="s">
        <v>856</v>
      </c>
      <c r="H26" t="s">
        <v>853</v>
      </c>
    </row>
    <row r="27" spans="1:8" x14ac:dyDescent="0.25">
      <c r="A27" t="s">
        <v>10</v>
      </c>
      <c r="B27" t="str">
        <f>VLOOKUP(A27,IDE_ConOps_4_3_Model_LVL3!C:H,6,FALSE)</f>
        <v>The IDE shall provide a 'Centralized Logging and Monitoring' service as a consolidated pipeline for all security audit events.</v>
      </c>
      <c r="C27" t="s">
        <v>6</v>
      </c>
      <c r="D27" s="1" t="s">
        <v>60</v>
      </c>
      <c r="E27" t="s">
        <v>12</v>
      </c>
      <c r="F27" t="s">
        <v>9</v>
      </c>
      <c r="G27" t="s">
        <v>857</v>
      </c>
      <c r="H27" t="s">
        <v>853</v>
      </c>
    </row>
    <row r="28" spans="1:8" x14ac:dyDescent="0.25">
      <c r="A28" t="s">
        <v>61</v>
      </c>
      <c r="B28" t="str">
        <f>VLOOKUP(A28,IDE_ConOps_4_3_Model_LVL3!C:H,6,FALSE)</f>
        <v>The IDE Secure Platform shall provide a mandated shared service for structured data storage (e.g., SQL-compatible).</v>
      </c>
      <c r="C28" t="s">
        <v>6</v>
      </c>
      <c r="D28" s="1" t="s">
        <v>62</v>
      </c>
      <c r="E28" t="s">
        <v>63</v>
      </c>
      <c r="F28" t="s">
        <v>9</v>
      </c>
      <c r="G28" t="s">
        <v>858</v>
      </c>
      <c r="H28" t="s">
        <v>853</v>
      </c>
    </row>
    <row r="29" spans="1:8" x14ac:dyDescent="0.25">
      <c r="A29" t="s">
        <v>31</v>
      </c>
      <c r="B29" t="str">
        <f>VLOOKUP(A29,IDE_ConOps_4_3_Model_LVL3!C:H,6,FALSE)</f>
        <v>The IDE 'Secure Platform' and 'IDE Capability Layer' components shall be hardened to comply with NIST SP 800-53 (Rev 5).</v>
      </c>
      <c r="C29" t="s">
        <v>6</v>
      </c>
      <c r="D29" s="1" t="s">
        <v>64</v>
      </c>
      <c r="E29" t="s">
        <v>33</v>
      </c>
      <c r="F29" t="s">
        <v>9</v>
      </c>
      <c r="G29" t="s">
        <v>859</v>
      </c>
      <c r="H29" t="s">
        <v>853</v>
      </c>
    </row>
    <row r="30" spans="1:8" x14ac:dyDescent="0.25">
      <c r="A30" t="s">
        <v>5</v>
      </c>
      <c r="B30" t="str">
        <f>VLOOKUP(A30,IDE_ConOps_4_3_Model_LVL3!C:H,6,FALSE)</f>
        <v>The IDE shall provide a 'Consolidated Admin Interface' as a secure, web-based UI to provide a single pane of glass for L1/L2 administrative tasks.</v>
      </c>
      <c r="C30" t="s">
        <v>6</v>
      </c>
      <c r="D30" s="1" t="s">
        <v>65</v>
      </c>
      <c r="E30" t="s">
        <v>8</v>
      </c>
      <c r="F30" t="s">
        <v>9</v>
      </c>
      <c r="G30" t="s">
        <v>860</v>
      </c>
      <c r="H30" t="s">
        <v>853</v>
      </c>
    </row>
    <row r="31" spans="1:8" x14ac:dyDescent="0.25">
      <c r="A31" t="s">
        <v>31</v>
      </c>
      <c r="B31" t="str">
        <f>VLOOKUP(A31,IDE_ConOps_4_3_Model_LVL3!C:H,6,FALSE)</f>
        <v>The IDE 'Secure Platform' and 'IDE Capability Layer' components shall be hardened to comply with NIST SP 800-53 (Rev 5).</v>
      </c>
      <c r="C31" t="s">
        <v>6</v>
      </c>
      <c r="D31" s="1" t="s">
        <v>66</v>
      </c>
      <c r="E31" t="s">
        <v>33</v>
      </c>
      <c r="F31" t="s">
        <v>9</v>
      </c>
      <c r="G31" t="s">
        <v>861</v>
      </c>
      <c r="H31" t="s">
        <v>829</v>
      </c>
    </row>
    <row r="32" spans="1:8" x14ac:dyDescent="0.25">
      <c r="A32" t="s">
        <v>67</v>
      </c>
      <c r="B32" t="str">
        <f>VLOOKUP(A32,IDE_ConOps_4_3_Model_LVL3!C:H,6,FALSE)</f>
        <v>The IDE shall provide a 'destroy IDE script' to securely remove an IDE instance and all associated resources.</v>
      </c>
      <c r="C32" t="s">
        <v>6</v>
      </c>
      <c r="D32" s="1" t="s">
        <v>68</v>
      </c>
      <c r="E32" t="s">
        <v>69</v>
      </c>
      <c r="F32" t="s">
        <v>9</v>
      </c>
      <c r="G32" t="s">
        <v>863</v>
      </c>
      <c r="H32" t="s">
        <v>862</v>
      </c>
    </row>
    <row r="33" spans="1:8" x14ac:dyDescent="0.25">
      <c r="A33" t="s">
        <v>70</v>
      </c>
      <c r="B33" t="str">
        <f>VLOOKUP(A33,IDE_ConOps_4_3_Model_LVL3!C:H,6,FALSE)</f>
        <v>The 'destroy IDE script' shall perform cryptographic erasure of all associated persistent volumes.</v>
      </c>
      <c r="C33" t="s">
        <v>6</v>
      </c>
      <c r="D33" s="1" t="s">
        <v>71</v>
      </c>
      <c r="E33" t="s">
        <v>69</v>
      </c>
      <c r="F33" t="s">
        <v>9</v>
      </c>
      <c r="G33" t="s">
        <v>864</v>
      </c>
      <c r="H33" t="s">
        <v>862</v>
      </c>
    </row>
    <row r="34" spans="1:8" x14ac:dyDescent="0.25">
      <c r="A34" t="s">
        <v>72</v>
      </c>
      <c r="B34" t="str">
        <f>VLOOKUP(A34,IDE_ConOps_4_3_Model_LVL3!C:H,6,FALSE)</f>
        <v>The IDE shall include documented guidance for the 'destroy IDE script' as part of the core product deliverable.</v>
      </c>
      <c r="C34" t="s">
        <v>6</v>
      </c>
      <c r="D34" s="1" t="s">
        <v>73</v>
      </c>
      <c r="E34" t="s">
        <v>74</v>
      </c>
      <c r="F34" t="s">
        <v>18</v>
      </c>
      <c r="G34" t="s">
        <v>865</v>
      </c>
      <c r="H34" t="s">
        <v>862</v>
      </c>
    </row>
    <row r="35" spans="1:8" x14ac:dyDescent="0.25">
      <c r="A35" t="s">
        <v>75</v>
      </c>
      <c r="B35" t="str">
        <f>VLOOKUP(A35,IDE_ConOps_4_3_Model_LVL3!C:H,6,FALSE)</f>
        <v>The IDE 'destroy IDE script' shall generate a 'Data Destruction Certificate' (audit log) of all destruction activities and component erasure status.</v>
      </c>
      <c r="C35" t="s">
        <v>6</v>
      </c>
      <c r="D35" s="1" t="s">
        <v>76</v>
      </c>
      <c r="E35" t="s">
        <v>69</v>
      </c>
      <c r="F35" t="s">
        <v>18</v>
      </c>
      <c r="G35" t="s">
        <v>866</v>
      </c>
      <c r="H35" t="s">
        <v>862</v>
      </c>
    </row>
    <row r="36" spans="1:8" x14ac:dyDescent="0.25">
      <c r="A36" t="s">
        <v>67</v>
      </c>
      <c r="B36" t="str">
        <f>VLOOKUP(A36,IDE_ConOps_4_3_Model_LVL3!C:H,6,FALSE)</f>
        <v>The IDE shall provide a 'destroy IDE script' to securely remove an IDE instance and all associated resources.</v>
      </c>
      <c r="C36" t="s">
        <v>6</v>
      </c>
      <c r="D36" s="1" t="s">
        <v>77</v>
      </c>
      <c r="E36" t="s">
        <v>69</v>
      </c>
      <c r="F36" t="s">
        <v>18</v>
      </c>
      <c r="G36" t="s">
        <v>867</v>
      </c>
      <c r="H36" t="s">
        <v>862</v>
      </c>
    </row>
    <row r="37" spans="1:8" x14ac:dyDescent="0.25">
      <c r="A37" t="s">
        <v>78</v>
      </c>
      <c r="B37" t="str">
        <f>VLOOKUP(A37,IDE_ConOps_4_3_Model_LVL3!C:H,6,FALSE)</f>
        <v>The IDE shall provide a capability for enterprise wiki collaboration.</v>
      </c>
      <c r="C37" t="s">
        <v>6</v>
      </c>
      <c r="D37" s="1" t="s">
        <v>79</v>
      </c>
      <c r="E37" t="s">
        <v>29</v>
      </c>
      <c r="F37" t="s">
        <v>9</v>
      </c>
      <c r="G37" t="s">
        <v>869</v>
      </c>
      <c r="H37" t="s">
        <v>868</v>
      </c>
    </row>
    <row r="38" spans="1:8" x14ac:dyDescent="0.25">
      <c r="A38" t="s">
        <v>80</v>
      </c>
      <c r="B38" t="str">
        <f>VLOOKUP(A38,IDE_ConOps_4_3_Model_LVL3!C:H,6,FALSE)</f>
        <v>The IDE shall provide a capability for users to create and configure custom dashboard templates to accommodate various user needs and metrics.</v>
      </c>
      <c r="C38" t="s">
        <v>6</v>
      </c>
      <c r="D38" s="1" t="s">
        <v>81</v>
      </c>
      <c r="E38" t="s">
        <v>8</v>
      </c>
      <c r="F38" t="s">
        <v>18</v>
      </c>
      <c r="G38" t="s">
        <v>870</v>
      </c>
      <c r="H38" t="s">
        <v>868</v>
      </c>
    </row>
    <row r="39" spans="1:8" x14ac:dyDescent="0.25">
      <c r="A39" t="s">
        <v>82</v>
      </c>
      <c r="B39" t="str">
        <f>VLOOKUP(A39,IDE_ConOps_4_3_Model_LVL3!C:H,6,FALSE)</f>
        <v>The IDE shall provide a 'Centralized Logging and Monitoring' service as a consolidated pipeline for all health metrics.</v>
      </c>
      <c r="C39" t="s">
        <v>6</v>
      </c>
      <c r="D39" s="1" t="s">
        <v>83</v>
      </c>
      <c r="E39" t="s">
        <v>12</v>
      </c>
      <c r="F39" t="s">
        <v>9</v>
      </c>
      <c r="G39" t="s">
        <v>871</v>
      </c>
      <c r="H39" t="s">
        <v>868</v>
      </c>
    </row>
    <row r="40" spans="1:8" x14ac:dyDescent="0.25">
      <c r="A40" t="s">
        <v>84</v>
      </c>
      <c r="B40" t="str">
        <f>VLOOKUP(A40,IDE_ConOps_4_3_Model_LVL3!C:H,6,FALSE)</f>
        <v>The IDE shall provide documentation and resources to assist users in configuring and interpreting dashboards.</v>
      </c>
      <c r="C40" t="s">
        <v>6</v>
      </c>
      <c r="D40" s="1" t="s">
        <v>85</v>
      </c>
      <c r="E40" t="s">
        <v>8</v>
      </c>
      <c r="F40" t="s">
        <v>18</v>
      </c>
      <c r="G40" t="s">
        <v>872</v>
      </c>
      <c r="H40" t="s">
        <v>868</v>
      </c>
    </row>
    <row r="41" spans="1:8" x14ac:dyDescent="0.25">
      <c r="A41" t="s">
        <v>50</v>
      </c>
      <c r="B41" t="str">
        <f>VLOOKUP(A41,IDE_ConOps_4_3_Model_LVL3!C:H,6,FALSE)</f>
        <v>The IDE shall provide a 'Centralized Health Dashboard' to display real-time health status, performance metrics, and Key Performance Indicators (KPIs) of all platform components.</v>
      </c>
      <c r="C41" t="s">
        <v>6</v>
      </c>
      <c r="D41" s="1" t="s">
        <v>86</v>
      </c>
      <c r="E41" t="s">
        <v>8</v>
      </c>
      <c r="F41" t="s">
        <v>9</v>
      </c>
      <c r="G41" t="s">
        <v>873</v>
      </c>
      <c r="H41" t="s">
        <v>868</v>
      </c>
    </row>
    <row r="42" spans="1:8" x14ac:dyDescent="0.25">
      <c r="A42" t="s">
        <v>87</v>
      </c>
      <c r="B42" t="str">
        <f>VLOOKUP(A42,IDE_ConOps_4_3_Model_LVL3!C:H,6,FALSE)</f>
        <v>The IDE shall provide a 'Centralized Logging and Monitoring' service as a consolidated pipeline for all platform logs.</v>
      </c>
      <c r="C42" t="s">
        <v>6</v>
      </c>
      <c r="D42" s="1" t="s">
        <v>88</v>
      </c>
      <c r="E42" t="s">
        <v>12</v>
      </c>
      <c r="F42" t="s">
        <v>9</v>
      </c>
      <c r="G42" t="s">
        <v>874</v>
      </c>
      <c r="H42" t="s">
        <v>868</v>
      </c>
    </row>
    <row r="43" spans="1:8" x14ac:dyDescent="0.25">
      <c r="A43" t="s">
        <v>34</v>
      </c>
      <c r="B43" t="str">
        <f>VLOOKUP(A43,IDE_ConOps_4_3_Model_LVL3!C:H,6,FALSE)</f>
        <v>The IDE shall provide a 'Centralized Health Dashboard' to display real-time performance status of all platform components.</v>
      </c>
      <c r="C43" t="s">
        <v>6</v>
      </c>
      <c r="D43" s="1" t="s">
        <v>89</v>
      </c>
      <c r="E43" t="s">
        <v>8</v>
      </c>
      <c r="F43" t="s">
        <v>9</v>
      </c>
      <c r="G43" t="s">
        <v>875</v>
      </c>
      <c r="H43" t="s">
        <v>868</v>
      </c>
    </row>
    <row r="44" spans="1:8" x14ac:dyDescent="0.25">
      <c r="A44" t="s">
        <v>50</v>
      </c>
      <c r="B44" t="str">
        <f>VLOOKUP(A44,IDE_ConOps_4_3_Model_LVL3!C:H,6,FALSE)</f>
        <v>The IDE shall provide a 'Centralized Health Dashboard' to display real-time health status, performance metrics, and Key Performance Indicators (KPIs) of all platform components.</v>
      </c>
      <c r="C44" t="s">
        <v>6</v>
      </c>
      <c r="D44" s="1" t="s">
        <v>90</v>
      </c>
      <c r="E44" t="s">
        <v>8</v>
      </c>
      <c r="F44" t="s">
        <v>9</v>
      </c>
      <c r="G44" t="s">
        <v>876</v>
      </c>
      <c r="H44" t="s">
        <v>868</v>
      </c>
    </row>
    <row r="45" spans="1:8" x14ac:dyDescent="0.25">
      <c r="A45" t="s">
        <v>47</v>
      </c>
      <c r="B45" t="str">
        <f>VLOOKUP(A45,IDE_ConOps_4_3_Model_LVL3!C:H,6,FALSE)</f>
        <v>The IDE shall provide a mandated shared service for Centralized Authentication and Authorization (SSO) that functions as an identity broker, connecting to a customer-provided Identity Provider (IdP).</v>
      </c>
      <c r="C45" t="s">
        <v>6</v>
      </c>
      <c r="D45" s="1" t="s">
        <v>91</v>
      </c>
      <c r="E45" t="s">
        <v>49</v>
      </c>
      <c r="F45" t="s">
        <v>9</v>
      </c>
      <c r="G45" t="s">
        <v>877</v>
      </c>
      <c r="H45" t="s">
        <v>868</v>
      </c>
    </row>
    <row r="46" spans="1:8" x14ac:dyDescent="0.25">
      <c r="A46" t="s">
        <v>92</v>
      </c>
      <c r="B46" t="str">
        <f>VLOOKUP(A46,IDE_ConOps_4_3_Model_LVL3!C:H,6,FALSE)</f>
        <v>The IDE shall enable dashboard user interaction (e.g., drill-down, filtering) to perform detailed analysis.</v>
      </c>
      <c r="C46" t="s">
        <v>6</v>
      </c>
      <c r="D46" s="1" t="s">
        <v>93</v>
      </c>
      <c r="E46" t="s">
        <v>8</v>
      </c>
      <c r="F46" t="s">
        <v>18</v>
      </c>
      <c r="G46" t="s">
        <v>878</v>
      </c>
      <c r="H46" t="s">
        <v>868</v>
      </c>
    </row>
    <row r="47" spans="1:8" x14ac:dyDescent="0.25">
      <c r="A47" t="s">
        <v>94</v>
      </c>
      <c r="B47" t="str">
        <f>VLOOKUP(A47,IDE_ConOps_4_3_Model_LVL3!C:H,6,FALSE)</f>
        <v>The IDE shall provide a solution to standardize data element definitions from disparate Authoritative Sources of Truth (ASoTs) into a unified data model.</v>
      </c>
      <c r="C47" t="s">
        <v>6</v>
      </c>
      <c r="D47" s="1" t="s">
        <v>95</v>
      </c>
      <c r="E47" t="s">
        <v>29</v>
      </c>
      <c r="F47" t="s">
        <v>9</v>
      </c>
      <c r="G47" t="s">
        <v>880</v>
      </c>
      <c r="H47" t="s">
        <v>879</v>
      </c>
    </row>
    <row r="48" spans="1:8" x14ac:dyDescent="0.25">
      <c r="A48" t="s">
        <v>61</v>
      </c>
      <c r="B48" t="str">
        <f>VLOOKUP(A48,IDE_ConOps_4_3_Model_LVL3!C:H,6,FALSE)</f>
        <v>The IDE Secure Platform shall provide a mandated shared service for structured data storage (e.g., SQL-compatible).</v>
      </c>
      <c r="C48" t="s">
        <v>6</v>
      </c>
      <c r="D48" s="1" t="s">
        <v>96</v>
      </c>
      <c r="E48" t="s">
        <v>63</v>
      </c>
      <c r="F48" t="s">
        <v>9</v>
      </c>
      <c r="G48" t="s">
        <v>881</v>
      </c>
      <c r="H48" t="s">
        <v>879</v>
      </c>
    </row>
    <row r="49" spans="1:8" x14ac:dyDescent="0.25">
      <c r="A49" t="s">
        <v>97</v>
      </c>
      <c r="B49" t="str">
        <f>VLOOKUP(A49,IDE_ConOps_4_3_Model_LVL3!C:H,6,FALSE)</f>
        <v>The IDE shall provide a capability (via the Insights Agent) to query the Digital Thread knowledge graph for complex, multi-domain relationships.</v>
      </c>
      <c r="C49" t="s">
        <v>6</v>
      </c>
      <c r="D49" s="1" t="s">
        <v>98</v>
      </c>
      <c r="E49" t="s">
        <v>99</v>
      </c>
      <c r="F49" t="s">
        <v>9</v>
      </c>
      <c r="G49" t="s">
        <v>882</v>
      </c>
      <c r="H49" t="s">
        <v>879</v>
      </c>
    </row>
    <row r="50" spans="1:8" x14ac:dyDescent="0.25">
      <c r="A50" t="s">
        <v>100</v>
      </c>
      <c r="B50" t="str">
        <f>VLOOKUP(A50,IDE_ConOps_4_3_Model_LVL3!C:H,6,FALSE)</f>
        <v>The IDE Secure Platform shall enable 'Customer-Integrated Applications' to leverage Mandated Shared Services via adherence to the published IDE Interface Control Document (ICD).</v>
      </c>
      <c r="C50" t="s">
        <v>6</v>
      </c>
      <c r="D50" s="1" t="s">
        <v>101</v>
      </c>
      <c r="E50" t="s">
        <v>102</v>
      </c>
      <c r="F50" t="s">
        <v>9</v>
      </c>
      <c r="G50" t="s">
        <v>883</v>
      </c>
      <c r="H50" t="s">
        <v>879</v>
      </c>
    </row>
    <row r="51" spans="1:8" x14ac:dyDescent="0.25">
      <c r="A51" t="s">
        <v>94</v>
      </c>
      <c r="B51" t="str">
        <f>VLOOKUP(A51,IDE_ConOps_4_3_Model_LVL3!C:H,6,FALSE)</f>
        <v>The IDE shall provide a solution to standardize data element definitions from disparate Authoritative Sources of Truth (ASoTs) into a unified data model.</v>
      </c>
      <c r="C51" t="s">
        <v>6</v>
      </c>
      <c r="D51" s="1" t="s">
        <v>103</v>
      </c>
      <c r="E51" t="s">
        <v>29</v>
      </c>
      <c r="F51" t="s">
        <v>9</v>
      </c>
      <c r="G51" t="s">
        <v>884</v>
      </c>
      <c r="H51" t="s">
        <v>879</v>
      </c>
    </row>
    <row r="52" spans="1:8" x14ac:dyDescent="0.25">
      <c r="A52" t="s">
        <v>104</v>
      </c>
      <c r="B52" t="str">
        <f>VLOOKUP(A52,IDE_ConOps_4_3_Model_LVL3!C:H,6,FALSE)</f>
        <v>The IDE shall provide a 'Centralized Logging and Monitoring' service as a consolidated pipeline for all performance metrics.</v>
      </c>
      <c r="C52" t="s">
        <v>6</v>
      </c>
      <c r="D52" s="1" t="s">
        <v>105</v>
      </c>
      <c r="E52" t="s">
        <v>12</v>
      </c>
      <c r="F52" t="s">
        <v>9</v>
      </c>
      <c r="G52" t="s">
        <v>885</v>
      </c>
      <c r="H52" t="s">
        <v>879</v>
      </c>
    </row>
    <row r="53" spans="1:8" x14ac:dyDescent="0.25">
      <c r="A53" t="s">
        <v>106</v>
      </c>
      <c r="B53" t="str">
        <f>VLOOKUP(A53,IDE_ConOps_4_3_Model_LVL3!C:H,6,FALSE)</f>
        <v>The IDE Secure Platform shall provide a capability for customers to deploy their own containerized applications ('Customer-Integrated Applications') alongside the IDE Capability Layer.</v>
      </c>
      <c r="C53" t="s">
        <v>6</v>
      </c>
      <c r="D53" s="1" t="s">
        <v>107</v>
      </c>
      <c r="E53" t="s">
        <v>102</v>
      </c>
      <c r="F53" t="s">
        <v>18</v>
      </c>
      <c r="G53" t="s">
        <v>886</v>
      </c>
      <c r="H53" t="s">
        <v>879</v>
      </c>
    </row>
    <row r="54" spans="1:8" x14ac:dyDescent="0.25">
      <c r="A54" t="s">
        <v>78</v>
      </c>
      <c r="B54" t="str">
        <f>VLOOKUP(A54,IDE_ConOps_4_3_Model_LVL3!C:H,6,FALSE)</f>
        <v>The IDE shall provide a capability for enterprise wiki collaboration.</v>
      </c>
      <c r="C54" t="s">
        <v>6</v>
      </c>
      <c r="D54" s="1" t="s">
        <v>108</v>
      </c>
      <c r="E54" t="s">
        <v>29</v>
      </c>
      <c r="F54" t="s">
        <v>18</v>
      </c>
      <c r="G54" t="s">
        <v>887</v>
      </c>
      <c r="H54" t="s">
        <v>879</v>
      </c>
    </row>
    <row r="55" spans="1:8" x14ac:dyDescent="0.25">
      <c r="A55" t="s">
        <v>109</v>
      </c>
      <c r="B55" t="str">
        <f>VLOOKUP(A55,IDE_ConOps_4_3_Model_LVL3!C:H,6,FALSE)</f>
        <v>The IDE shall provide a capability for Requirements Management.</v>
      </c>
      <c r="C55" t="s">
        <v>6</v>
      </c>
      <c r="D55" s="1" t="s">
        <v>110</v>
      </c>
      <c r="E55" t="s">
        <v>29</v>
      </c>
      <c r="F55" t="s">
        <v>18</v>
      </c>
      <c r="G55" t="s">
        <v>888</v>
      </c>
      <c r="H55" t="s">
        <v>879</v>
      </c>
    </row>
    <row r="56" spans="1:8" x14ac:dyDescent="0.25">
      <c r="A56" t="s">
        <v>111</v>
      </c>
      <c r="B56" t="str">
        <f>VLOOKUP(A56,IDE_ConOps_4_3_Model_LVL3!C:H,6,FALSE)</f>
        <v>The IDE shall provide a DoD DevSecOps compliant capability for software version control.</v>
      </c>
      <c r="C56" t="s">
        <v>6</v>
      </c>
      <c r="D56" s="1" t="s">
        <v>112</v>
      </c>
      <c r="E56" t="s">
        <v>29</v>
      </c>
      <c r="F56" t="s">
        <v>18</v>
      </c>
      <c r="G56" t="s">
        <v>889</v>
      </c>
      <c r="H56" t="s">
        <v>879</v>
      </c>
    </row>
    <row r="57" spans="1:8" x14ac:dyDescent="0.25">
      <c r="A57" t="s">
        <v>10</v>
      </c>
      <c r="B57" t="str">
        <f>VLOOKUP(A57,IDE_ConOps_4_3_Model_LVL3!C:H,6,FALSE)</f>
        <v>The IDE shall provide a 'Centralized Logging and Monitoring' service as a consolidated pipeline for all security audit events.</v>
      </c>
      <c r="C57" t="s">
        <v>6</v>
      </c>
      <c r="D57" s="1" t="s">
        <v>113</v>
      </c>
      <c r="E57" t="s">
        <v>12</v>
      </c>
      <c r="F57" t="s">
        <v>9</v>
      </c>
      <c r="G57" t="s">
        <v>891</v>
      </c>
      <c r="H57" t="s">
        <v>890</v>
      </c>
    </row>
    <row r="58" spans="1:8" x14ac:dyDescent="0.25">
      <c r="A58" t="s">
        <v>31</v>
      </c>
      <c r="B58" t="str">
        <f>VLOOKUP(A58,IDE_ConOps_4_3_Model_LVL3!C:H,6,FALSE)</f>
        <v>The IDE 'Secure Platform' and 'IDE Capability Layer' components shall be hardened to comply with NIST SP 800-53 (Rev 5).</v>
      </c>
      <c r="C58" t="s">
        <v>6</v>
      </c>
      <c r="D58" s="1" t="s">
        <v>114</v>
      </c>
      <c r="E58" t="s">
        <v>33</v>
      </c>
      <c r="F58" t="s">
        <v>9</v>
      </c>
      <c r="G58" t="s">
        <v>892</v>
      </c>
      <c r="H58" t="s">
        <v>890</v>
      </c>
    </row>
    <row r="59" spans="1:8" x14ac:dyDescent="0.25">
      <c r="A59" t="s">
        <v>50</v>
      </c>
      <c r="B59" t="str">
        <f>VLOOKUP(A59,IDE_ConOps_4_3_Model_LVL3!C:H,6,FALSE)</f>
        <v>The IDE shall provide a 'Centralized Health Dashboard' to display real-time health status, performance metrics, and Key Performance Indicators (KPIs) of all platform components.</v>
      </c>
      <c r="C59" t="s">
        <v>6</v>
      </c>
      <c r="D59" s="1" t="s">
        <v>115</v>
      </c>
      <c r="E59" t="s">
        <v>8</v>
      </c>
      <c r="F59" t="s">
        <v>9</v>
      </c>
      <c r="G59" t="s">
        <v>893</v>
      </c>
      <c r="H59" t="s">
        <v>890</v>
      </c>
    </row>
    <row r="60" spans="1:8" x14ac:dyDescent="0.25">
      <c r="A60" t="s">
        <v>10</v>
      </c>
      <c r="B60" t="str">
        <f>VLOOKUP(A60,IDE_ConOps_4_3_Model_LVL3!C:H,6,FALSE)</f>
        <v>The IDE shall provide a 'Centralized Logging and Monitoring' service as a consolidated pipeline for all security audit events.</v>
      </c>
      <c r="C60" t="s">
        <v>6</v>
      </c>
      <c r="D60" s="1" t="s">
        <v>116</v>
      </c>
      <c r="E60" t="s">
        <v>12</v>
      </c>
      <c r="F60" t="s">
        <v>9</v>
      </c>
      <c r="G60" t="s">
        <v>894</v>
      </c>
      <c r="H60" t="s">
        <v>890</v>
      </c>
    </row>
    <row r="61" spans="1:8" x14ac:dyDescent="0.25">
      <c r="A61" t="s">
        <v>104</v>
      </c>
      <c r="B61" t="str">
        <f>VLOOKUP(A61,IDE_ConOps_4_3_Model_LVL3!C:H,6,FALSE)</f>
        <v>The IDE shall provide a 'Centralized Logging and Monitoring' service as a consolidated pipeline for all performance metrics.</v>
      </c>
      <c r="C61" t="s">
        <v>6</v>
      </c>
      <c r="D61" s="1" t="s">
        <v>117</v>
      </c>
      <c r="E61" t="s">
        <v>12</v>
      </c>
      <c r="F61" t="s">
        <v>9</v>
      </c>
      <c r="G61" t="s">
        <v>895</v>
      </c>
      <c r="H61" t="s">
        <v>890</v>
      </c>
    </row>
    <row r="62" spans="1:8" x14ac:dyDescent="0.25">
      <c r="A62" t="s">
        <v>87</v>
      </c>
      <c r="B62" t="str">
        <f>VLOOKUP(A62,IDE_ConOps_4_3_Model_LVL3!C:H,6,FALSE)</f>
        <v>The IDE shall provide a 'Centralized Logging and Monitoring' service as a consolidated pipeline for all platform logs.</v>
      </c>
      <c r="C62" t="s">
        <v>6</v>
      </c>
      <c r="D62" s="1" t="s">
        <v>118</v>
      </c>
      <c r="E62" t="s">
        <v>12</v>
      </c>
      <c r="F62" t="s">
        <v>9</v>
      </c>
      <c r="G62" t="s">
        <v>896</v>
      </c>
      <c r="H62" t="s">
        <v>890</v>
      </c>
    </row>
    <row r="63" spans="1:8" x14ac:dyDescent="0.25">
      <c r="A63" t="s">
        <v>31</v>
      </c>
      <c r="B63" t="str">
        <f>VLOOKUP(A63,IDE_ConOps_4_3_Model_LVL3!C:H,6,FALSE)</f>
        <v>The IDE 'Secure Platform' and 'IDE Capability Layer' components shall be hardened to comply with NIST SP 800-53 (Rev 5).</v>
      </c>
      <c r="C63" t="s">
        <v>6</v>
      </c>
      <c r="D63" s="1" t="s">
        <v>119</v>
      </c>
      <c r="E63" t="s">
        <v>33</v>
      </c>
      <c r="F63" t="s">
        <v>9</v>
      </c>
      <c r="G63" t="s">
        <v>897</v>
      </c>
      <c r="H63" t="s">
        <v>890</v>
      </c>
    </row>
    <row r="64" spans="1:8" x14ac:dyDescent="0.25">
      <c r="A64" t="s">
        <v>10</v>
      </c>
      <c r="B64" t="str">
        <f>VLOOKUP(A64,IDE_ConOps_4_3_Model_LVL3!C:H,6,FALSE)</f>
        <v>The IDE shall provide a 'Centralized Logging and Monitoring' service as a consolidated pipeline for all security audit events.</v>
      </c>
      <c r="C64" t="s">
        <v>6</v>
      </c>
      <c r="D64" s="1" t="s">
        <v>120</v>
      </c>
      <c r="E64" t="s">
        <v>12</v>
      </c>
      <c r="F64" t="s">
        <v>9</v>
      </c>
      <c r="G64" t="s">
        <v>898</v>
      </c>
      <c r="H64" t="s">
        <v>890</v>
      </c>
    </row>
    <row r="65" spans="1:8" x14ac:dyDescent="0.25">
      <c r="A65" t="s">
        <v>50</v>
      </c>
      <c r="B65" t="str">
        <f>VLOOKUP(A65,IDE_ConOps_4_3_Model_LVL3!C:H,6,FALSE)</f>
        <v>The IDE shall provide a 'Centralized Health Dashboard' to display real-time health status, performance metrics, and Key Performance Indicators (KPIs) of all platform components.</v>
      </c>
      <c r="C65" t="s">
        <v>6</v>
      </c>
      <c r="D65" s="1" t="s">
        <v>121</v>
      </c>
      <c r="E65" t="s">
        <v>8</v>
      </c>
      <c r="F65" t="s">
        <v>9</v>
      </c>
      <c r="G65" t="s">
        <v>900</v>
      </c>
      <c r="H65" t="s">
        <v>899</v>
      </c>
    </row>
    <row r="66" spans="1:8" x14ac:dyDescent="0.25">
      <c r="A66" t="s">
        <v>82</v>
      </c>
      <c r="B66" t="str">
        <f>VLOOKUP(A66,IDE_ConOps_4_3_Model_LVL3!C:H,6,FALSE)</f>
        <v>The IDE shall provide a 'Centralized Logging and Monitoring' service as a consolidated pipeline for all health metrics.</v>
      </c>
      <c r="C66" t="s">
        <v>6</v>
      </c>
      <c r="D66" s="1" t="s">
        <v>122</v>
      </c>
      <c r="E66" t="s">
        <v>12</v>
      </c>
      <c r="F66" t="s">
        <v>9</v>
      </c>
      <c r="G66" t="s">
        <v>901</v>
      </c>
      <c r="H66" t="s">
        <v>899</v>
      </c>
    </row>
    <row r="67" spans="1:8" x14ac:dyDescent="0.25">
      <c r="A67" t="s">
        <v>31</v>
      </c>
      <c r="B67" t="str">
        <f>VLOOKUP(A67,IDE_ConOps_4_3_Model_LVL3!C:H,6,FALSE)</f>
        <v>The IDE 'Secure Platform' and 'IDE Capability Layer' components shall be hardened to comply with NIST SP 800-53 (Rev 5).</v>
      </c>
      <c r="C67" t="s">
        <v>6</v>
      </c>
      <c r="D67" s="1" t="s">
        <v>123</v>
      </c>
      <c r="E67" t="s">
        <v>33</v>
      </c>
      <c r="F67" t="s">
        <v>9</v>
      </c>
      <c r="G67" t="s">
        <v>902</v>
      </c>
      <c r="H67" t="s">
        <v>899</v>
      </c>
    </row>
    <row r="68" spans="1:8" x14ac:dyDescent="0.25">
      <c r="A68" t="s">
        <v>50</v>
      </c>
      <c r="B68" t="str">
        <f>VLOOKUP(A68,IDE_ConOps_4_3_Model_LVL3!C:H,6,FALSE)</f>
        <v>The IDE shall provide a 'Centralized Health Dashboard' to display real-time health status, performance metrics, and Key Performance Indicators (KPIs) of all platform components.</v>
      </c>
      <c r="C68" t="s">
        <v>6</v>
      </c>
      <c r="D68" s="1" t="s">
        <v>124</v>
      </c>
      <c r="E68" t="s">
        <v>8</v>
      </c>
      <c r="F68" t="s">
        <v>9</v>
      </c>
      <c r="G68" t="s">
        <v>903</v>
      </c>
      <c r="H68" t="s">
        <v>899</v>
      </c>
    </row>
    <row r="69" spans="1:8" x14ac:dyDescent="0.25">
      <c r="A69" t="s">
        <v>125</v>
      </c>
      <c r="B69" t="str">
        <f>VLOOKUP(A69,IDE_ConOps_4_3_Model_LVL3!C:H,6,FALSE)</f>
        <v>The 'Consolidated Admin Interface' shall provide a module for managing user accounts.</v>
      </c>
      <c r="C69" t="s">
        <v>6</v>
      </c>
      <c r="D69" s="1" t="s">
        <v>126</v>
      </c>
      <c r="E69" t="s">
        <v>8</v>
      </c>
      <c r="F69" t="s">
        <v>18</v>
      </c>
      <c r="G69" t="s">
        <v>904</v>
      </c>
      <c r="H69" t="s">
        <v>829</v>
      </c>
    </row>
    <row r="70" spans="1:8" x14ac:dyDescent="0.25">
      <c r="A70" t="s">
        <v>47</v>
      </c>
      <c r="B70" t="str">
        <f>VLOOKUP(A70,IDE_ConOps_4_3_Model_LVL3!C:H,6,FALSE)</f>
        <v>The IDE shall provide a mandated shared service for Centralized Authentication and Authorization (SSO) that functions as an identity broker, connecting to a customer-provided Identity Provider (IdP).</v>
      </c>
      <c r="C70" t="s">
        <v>6</v>
      </c>
      <c r="D70" s="1" t="s">
        <v>127</v>
      </c>
      <c r="E70" t="s">
        <v>49</v>
      </c>
      <c r="F70" t="s">
        <v>9</v>
      </c>
      <c r="G70" t="s">
        <v>906</v>
      </c>
      <c r="H70" t="s">
        <v>905</v>
      </c>
    </row>
    <row r="71" spans="1:8" x14ac:dyDescent="0.25">
      <c r="A71" t="s">
        <v>47</v>
      </c>
      <c r="B71" t="str">
        <f>VLOOKUP(A71,IDE_ConOps_4_3_Model_LVL3!C:H,6,FALSE)</f>
        <v>The IDE shall provide a mandated shared service for Centralized Authentication and Authorization (SSO) that functions as an identity broker, connecting to a customer-provided Identity Provider (IdP).</v>
      </c>
      <c r="C71" t="s">
        <v>6</v>
      </c>
      <c r="D71" s="1" t="s">
        <v>128</v>
      </c>
      <c r="E71" t="s">
        <v>49</v>
      </c>
      <c r="F71" t="s">
        <v>9</v>
      </c>
      <c r="G71" t="s">
        <v>907</v>
      </c>
      <c r="H71" t="s">
        <v>905</v>
      </c>
    </row>
    <row r="72" spans="1:8" x14ac:dyDescent="0.25">
      <c r="A72" t="s">
        <v>47</v>
      </c>
      <c r="B72" t="str">
        <f>VLOOKUP(A72,IDE_ConOps_4_3_Model_LVL3!C:H,6,FALSE)</f>
        <v>The IDE shall provide a mandated shared service for Centralized Authentication and Authorization (SSO) that functions as an identity broker, connecting to a customer-provided Identity Provider (IdP).</v>
      </c>
      <c r="C72" t="s">
        <v>6</v>
      </c>
      <c r="D72" s="1" t="s">
        <v>129</v>
      </c>
      <c r="E72" t="s">
        <v>49</v>
      </c>
      <c r="F72" t="s">
        <v>9</v>
      </c>
      <c r="G72" t="s">
        <v>908</v>
      </c>
      <c r="H72" t="s">
        <v>905</v>
      </c>
    </row>
    <row r="73" spans="1:8" x14ac:dyDescent="0.25">
      <c r="A73" t="s">
        <v>47</v>
      </c>
      <c r="B73" t="str">
        <f>VLOOKUP(A73,IDE_ConOps_4_3_Model_LVL3!C:H,6,FALSE)</f>
        <v>The IDE shall provide a mandated shared service for Centralized Authentication and Authorization (SSO) that functions as an identity broker, connecting to a customer-provided Identity Provider (IdP).</v>
      </c>
      <c r="C73" t="s">
        <v>6</v>
      </c>
      <c r="D73" s="1" t="s">
        <v>130</v>
      </c>
      <c r="E73" t="s">
        <v>49</v>
      </c>
      <c r="F73" t="s">
        <v>9</v>
      </c>
      <c r="G73" t="s">
        <v>910</v>
      </c>
      <c r="H73" t="s">
        <v>909</v>
      </c>
    </row>
    <row r="74" spans="1:8" x14ac:dyDescent="0.25">
      <c r="A74" t="s">
        <v>47</v>
      </c>
      <c r="B74" t="str">
        <f>VLOOKUP(A74,IDE_ConOps_4_3_Model_LVL3!C:H,6,FALSE)</f>
        <v>The IDE shall provide a mandated shared service for Centralized Authentication and Authorization (SSO) that functions as an identity broker, connecting to a customer-provided Identity Provider (IdP).</v>
      </c>
      <c r="C74" t="s">
        <v>6</v>
      </c>
      <c r="D74" s="1" t="s">
        <v>131</v>
      </c>
      <c r="E74" t="s">
        <v>49</v>
      </c>
      <c r="F74" t="s">
        <v>9</v>
      </c>
      <c r="G74" t="s">
        <v>911</v>
      </c>
      <c r="H74" t="s">
        <v>909</v>
      </c>
    </row>
    <row r="75" spans="1:8" x14ac:dyDescent="0.25">
      <c r="A75" t="s">
        <v>132</v>
      </c>
      <c r="B75" t="str">
        <f>VLOOKUP(A75,IDE_ConOps_4_3_Model_LVL3!C:H,6,FALSE)</f>
        <v>The IDE shall complete the 'Platform Patching and Upgrades' scenario (Scenario 5.2.2), from execution of the upgrade command to operational readiness, in under one (1) hour.</v>
      </c>
      <c r="C75" t="s">
        <v>6</v>
      </c>
      <c r="D75" s="1" t="s">
        <v>133</v>
      </c>
      <c r="E75" t="s">
        <v>134</v>
      </c>
      <c r="F75" t="s">
        <v>9</v>
      </c>
      <c r="G75" t="s">
        <v>912</v>
      </c>
      <c r="H75" t="s">
        <v>899</v>
      </c>
    </row>
    <row r="76" spans="1:8" x14ac:dyDescent="0.25">
      <c r="A76" t="s">
        <v>5</v>
      </c>
      <c r="B76" t="str">
        <f>VLOOKUP(A76,IDE_ConOps_4_3_Model_LVL3!C:H,6,FALSE)</f>
        <v>The IDE shall provide a 'Consolidated Admin Interface' as a secure, web-based UI to provide a single pane of glass for L1/L2 administrative tasks.</v>
      </c>
      <c r="C76" t="s">
        <v>6</v>
      </c>
      <c r="D76" s="1" t="s">
        <v>135</v>
      </c>
      <c r="E76" t="s">
        <v>8</v>
      </c>
      <c r="F76" t="s">
        <v>9</v>
      </c>
      <c r="G76" t="s">
        <v>913</v>
      </c>
      <c r="H76" t="s">
        <v>899</v>
      </c>
    </row>
    <row r="77" spans="1:8" x14ac:dyDescent="0.25">
      <c r="A77" t="s">
        <v>31</v>
      </c>
      <c r="B77" t="str">
        <f>VLOOKUP(A77,IDE_ConOps_4_3_Model_LVL3!C:H,6,FALSE)</f>
        <v>The IDE 'Secure Platform' and 'IDE Capability Layer' components shall be hardened to comply with NIST SP 800-53 (Rev 5).</v>
      </c>
      <c r="C77" t="s">
        <v>6</v>
      </c>
      <c r="D77" s="1" t="s">
        <v>136</v>
      </c>
      <c r="E77" t="s">
        <v>33</v>
      </c>
      <c r="F77" t="s">
        <v>9</v>
      </c>
      <c r="G77" t="s">
        <v>914</v>
      </c>
      <c r="H77" t="s">
        <v>827</v>
      </c>
    </row>
    <row r="78" spans="1:8" x14ac:dyDescent="0.25">
      <c r="A78" t="s">
        <v>5</v>
      </c>
      <c r="B78" t="str">
        <f>VLOOKUP(A78,IDE_ConOps_4_3_Model_LVL3!C:H,6,FALSE)</f>
        <v>The IDE shall provide a 'Consolidated Admin Interface' as a secure, web-based UI to provide a single pane of glass for L1/L2 administrative tasks.</v>
      </c>
      <c r="C78" t="s">
        <v>6</v>
      </c>
      <c r="D78" s="1" t="s">
        <v>137</v>
      </c>
      <c r="E78" t="s">
        <v>8</v>
      </c>
      <c r="F78" t="s">
        <v>9</v>
      </c>
      <c r="G78" t="s">
        <v>916</v>
      </c>
      <c r="H78" t="s">
        <v>915</v>
      </c>
    </row>
    <row r="79" spans="1:8" x14ac:dyDescent="0.25">
      <c r="A79" t="s">
        <v>138</v>
      </c>
      <c r="B79" t="str">
        <f>VLOOKUP(A79,IDE_ConOps_4_3_Model_LVL3!C:H,6,FALSE)</f>
        <v>The IDE 'Secure Platform' and its 'Mandated Shared Services' shall provide &gt;= 99.99% availability.</v>
      </c>
      <c r="C79" t="s">
        <v>6</v>
      </c>
      <c r="D79" s="1" t="s">
        <v>139</v>
      </c>
      <c r="E79" t="s">
        <v>56</v>
      </c>
      <c r="F79" t="s">
        <v>9</v>
      </c>
      <c r="G79" t="s">
        <v>917</v>
      </c>
      <c r="H79" t="s">
        <v>915</v>
      </c>
    </row>
    <row r="80" spans="1:8" x14ac:dyDescent="0.25">
      <c r="A80" t="s">
        <v>34</v>
      </c>
      <c r="B80" t="str">
        <f>VLOOKUP(A80,IDE_ConOps_4_3_Model_LVL3!C:H,6,FALSE)</f>
        <v>The IDE shall provide a 'Centralized Health Dashboard' to display real-time performance status of all platform components.</v>
      </c>
      <c r="C80" t="s">
        <v>6</v>
      </c>
      <c r="D80" s="1" t="s">
        <v>140</v>
      </c>
      <c r="E80" t="s">
        <v>8</v>
      </c>
      <c r="F80" t="s">
        <v>9</v>
      </c>
      <c r="G80" t="s">
        <v>918</v>
      </c>
      <c r="H80" t="s">
        <v>915</v>
      </c>
    </row>
    <row r="81" spans="1:8" x14ac:dyDescent="0.25">
      <c r="A81" t="s">
        <v>34</v>
      </c>
      <c r="B81" t="str">
        <f>VLOOKUP(A81,IDE_ConOps_4_3_Model_LVL3!C:H,6,FALSE)</f>
        <v>The IDE shall provide a 'Centralized Health Dashboard' to display real-time performance status of all platform components.</v>
      </c>
      <c r="C81" t="s">
        <v>6</v>
      </c>
      <c r="D81" s="1" t="s">
        <v>141</v>
      </c>
      <c r="E81" t="s">
        <v>8</v>
      </c>
      <c r="F81" t="s">
        <v>9</v>
      </c>
      <c r="G81" t="s">
        <v>919</v>
      </c>
      <c r="H81" t="s">
        <v>915</v>
      </c>
    </row>
    <row r="82" spans="1:8" x14ac:dyDescent="0.25">
      <c r="A82" t="s">
        <v>31</v>
      </c>
      <c r="B82" t="str">
        <f>VLOOKUP(A82,IDE_ConOps_4_3_Model_LVL3!C:H,6,FALSE)</f>
        <v>The IDE 'Secure Platform' and 'IDE Capability Layer' components shall be hardened to comply with NIST SP 800-53 (Rev 5).</v>
      </c>
      <c r="C82" t="s">
        <v>6</v>
      </c>
      <c r="D82" s="1" t="s">
        <v>142</v>
      </c>
      <c r="E82" t="s">
        <v>33</v>
      </c>
      <c r="F82" t="s">
        <v>9</v>
      </c>
      <c r="G82" t="s">
        <v>920</v>
      </c>
      <c r="H82" t="s">
        <v>915</v>
      </c>
    </row>
    <row r="83" spans="1:8" x14ac:dyDescent="0.25">
      <c r="A83" t="s">
        <v>34</v>
      </c>
      <c r="B83" t="str">
        <f>VLOOKUP(A83,IDE_ConOps_4_3_Model_LVL3!C:H,6,FALSE)</f>
        <v>The IDE shall provide a 'Centralized Health Dashboard' to display real-time performance status of all platform components.</v>
      </c>
      <c r="C83" t="s">
        <v>6</v>
      </c>
      <c r="D83" s="1" t="s">
        <v>143</v>
      </c>
      <c r="E83" t="s">
        <v>8</v>
      </c>
      <c r="F83" t="s">
        <v>9</v>
      </c>
      <c r="G83" t="s">
        <v>921</v>
      </c>
      <c r="H83" t="s">
        <v>915</v>
      </c>
    </row>
    <row r="84" spans="1:8" x14ac:dyDescent="0.25">
      <c r="A84" t="s">
        <v>78</v>
      </c>
      <c r="B84" t="str">
        <f>VLOOKUP(A84,IDE_ConOps_4_3_Model_LVL3!C:H,6,FALSE)</f>
        <v>The IDE shall provide a capability for enterprise wiki collaboration.</v>
      </c>
      <c r="C84" t="s">
        <v>6</v>
      </c>
      <c r="D84" s="1" t="s">
        <v>144</v>
      </c>
      <c r="E84" t="s">
        <v>29</v>
      </c>
      <c r="F84" t="s">
        <v>9</v>
      </c>
      <c r="G84" t="s">
        <v>923</v>
      </c>
      <c r="H84" t="s">
        <v>922</v>
      </c>
    </row>
    <row r="85" spans="1:8" x14ac:dyDescent="0.25">
      <c r="A85" t="s">
        <v>145</v>
      </c>
      <c r="B85" t="str">
        <f>VLOOKUP(A85,IDE_ConOps_4_3_Model_LVL3!C:H,6,FALSE)</f>
        <v>The 'Consolidated Admin Interface' shall provide a module for managing user roles.</v>
      </c>
      <c r="C85" t="s">
        <v>6</v>
      </c>
      <c r="D85" s="1" t="s">
        <v>146</v>
      </c>
      <c r="E85" t="s">
        <v>8</v>
      </c>
      <c r="F85" t="s">
        <v>9</v>
      </c>
      <c r="G85" t="s">
        <v>924</v>
      </c>
      <c r="H85" t="s">
        <v>829</v>
      </c>
    </row>
    <row r="86" spans="1:8" x14ac:dyDescent="0.25">
      <c r="A86" t="s">
        <v>47</v>
      </c>
      <c r="B86" t="str">
        <f>VLOOKUP(A86,IDE_ConOps_4_3_Model_LVL3!C:H,6,FALSE)</f>
        <v>The IDE shall provide a mandated shared service for Centralized Authentication and Authorization (SSO) that functions as an identity broker, connecting to a customer-provided Identity Provider (IdP).</v>
      </c>
      <c r="C86" t="s">
        <v>6</v>
      </c>
      <c r="D86" s="1" t="s">
        <v>147</v>
      </c>
      <c r="E86" t="s">
        <v>49</v>
      </c>
      <c r="F86" t="s">
        <v>9</v>
      </c>
      <c r="G86" t="s">
        <v>925</v>
      </c>
      <c r="H86" t="s">
        <v>829</v>
      </c>
    </row>
    <row r="87" spans="1:8" x14ac:dyDescent="0.25">
      <c r="A87" t="s">
        <v>125</v>
      </c>
      <c r="B87" t="str">
        <f>VLOOKUP(A87,IDE_ConOps_4_3_Model_LVL3!C:H,6,FALSE)</f>
        <v>The 'Consolidated Admin Interface' shall provide a module for managing user accounts.</v>
      </c>
      <c r="C87" t="s">
        <v>6</v>
      </c>
      <c r="D87" s="1" t="s">
        <v>148</v>
      </c>
      <c r="E87" t="s">
        <v>8</v>
      </c>
      <c r="F87" t="s">
        <v>9</v>
      </c>
      <c r="G87" t="s">
        <v>926</v>
      </c>
      <c r="H87" t="s">
        <v>829</v>
      </c>
    </row>
    <row r="88" spans="1:8" x14ac:dyDescent="0.25">
      <c r="A88" t="s">
        <v>149</v>
      </c>
      <c r="B88" t="str">
        <f>VLOOKUP(A88,IDE_ConOps_4_3_Model_LVL3!C:H,6,FALSE)</f>
        <v>The IDE shall assign each AI agent a distinct, non-human identity (service account) with a unique, role-based access control (RBAC) profile.</v>
      </c>
      <c r="C88" t="s">
        <v>6</v>
      </c>
      <c r="D88" s="1" t="s">
        <v>150</v>
      </c>
      <c r="E88" t="s">
        <v>151</v>
      </c>
      <c r="F88" t="s">
        <v>9</v>
      </c>
      <c r="G88" t="s">
        <v>927</v>
      </c>
      <c r="H88" t="s">
        <v>996</v>
      </c>
    </row>
    <row r="89" spans="1:8" x14ac:dyDescent="0.25">
      <c r="A89" t="s">
        <v>152</v>
      </c>
      <c r="B89" t="str">
        <f>VLOOKUP(A89,IDE_ConOps_4_3_Model_LVL3!C:H,6,FALSE)</f>
        <v>The IDE shall provide a DoD DevSecOps compliant capability for Cyber Security Compliance (DAST) and container scanning.</v>
      </c>
      <c r="C89" t="s">
        <v>6</v>
      </c>
      <c r="D89" s="1" t="s">
        <v>153</v>
      </c>
      <c r="E89" t="s">
        <v>29</v>
      </c>
      <c r="F89" t="s">
        <v>9</v>
      </c>
      <c r="G89" t="s">
        <v>928</v>
      </c>
      <c r="H89" t="s">
        <v>996</v>
      </c>
    </row>
    <row r="90" spans="1:8" x14ac:dyDescent="0.25">
      <c r="A90" t="s">
        <v>5</v>
      </c>
      <c r="B90" t="str">
        <f>VLOOKUP(A90,IDE_ConOps_4_3_Model_LVL3!C:H,6,FALSE)</f>
        <v>The IDE shall provide a 'Consolidated Admin Interface' as a secure, web-based UI to provide a single pane of glass for L1/L2 administrative tasks.</v>
      </c>
      <c r="C90" t="s">
        <v>6</v>
      </c>
      <c r="D90" s="1" t="s">
        <v>154</v>
      </c>
      <c r="E90" t="s">
        <v>8</v>
      </c>
      <c r="F90" t="s">
        <v>9</v>
      </c>
      <c r="G90" t="s">
        <v>929</v>
      </c>
      <c r="H90" t="s">
        <v>996</v>
      </c>
    </row>
    <row r="91" spans="1:8" x14ac:dyDescent="0.25">
      <c r="A91" t="s">
        <v>31</v>
      </c>
      <c r="B91" t="str">
        <f>VLOOKUP(A91,IDE_ConOps_4_3_Model_LVL3!C:H,6,FALSE)</f>
        <v>The IDE 'Secure Platform' and 'IDE Capability Layer' components shall be hardened to comply with NIST SP 800-53 (Rev 5).</v>
      </c>
      <c r="C91" t="s">
        <v>6</v>
      </c>
      <c r="D91" s="1" t="s">
        <v>155</v>
      </c>
      <c r="E91" t="s">
        <v>33</v>
      </c>
      <c r="F91" t="s">
        <v>9</v>
      </c>
      <c r="G91" t="s">
        <v>930</v>
      </c>
      <c r="H91" t="s">
        <v>996</v>
      </c>
    </row>
    <row r="92" spans="1:8" x14ac:dyDescent="0.25">
      <c r="A92" t="s">
        <v>5</v>
      </c>
      <c r="B92" t="str">
        <f>VLOOKUP(A92,IDE_ConOps_4_3_Model_LVL3!C:H,6,FALSE)</f>
        <v>The IDE shall provide a 'Consolidated Admin Interface' as a secure, web-based UI to provide a single pane of glass for L1/L2 administrative tasks.</v>
      </c>
      <c r="C92" t="s">
        <v>6</v>
      </c>
      <c r="D92" s="1" t="s">
        <v>156</v>
      </c>
      <c r="E92" t="s">
        <v>8</v>
      </c>
      <c r="F92" t="s">
        <v>9</v>
      </c>
      <c r="G92" t="s">
        <v>931</v>
      </c>
      <c r="H92" t="s">
        <v>996</v>
      </c>
    </row>
    <row r="93" spans="1:8" x14ac:dyDescent="0.25">
      <c r="A93" t="s">
        <v>10</v>
      </c>
      <c r="B93" t="str">
        <f>VLOOKUP(A93,IDE_ConOps_4_3_Model_LVL3!C:H,6,FALSE)</f>
        <v>The IDE shall provide a 'Centralized Logging and Monitoring' service as a consolidated pipeline for all security audit events.</v>
      </c>
      <c r="C93" t="s">
        <v>6</v>
      </c>
      <c r="D93" s="1" t="s">
        <v>157</v>
      </c>
      <c r="E93" t="s">
        <v>12</v>
      </c>
      <c r="F93" t="s">
        <v>9</v>
      </c>
      <c r="G93" t="s">
        <v>932</v>
      </c>
      <c r="H93" t="s">
        <v>996</v>
      </c>
    </row>
    <row r="94" spans="1:8" x14ac:dyDescent="0.25">
      <c r="A94" t="s">
        <v>152</v>
      </c>
      <c r="B94" t="str">
        <f>VLOOKUP(A94,IDE_ConOps_4_3_Model_LVL3!C:H,6,FALSE)</f>
        <v>The IDE shall provide a DoD DevSecOps compliant capability for Cyber Security Compliance (DAST) and container scanning.</v>
      </c>
      <c r="C94" t="s">
        <v>6</v>
      </c>
      <c r="D94" s="1" t="s">
        <v>158</v>
      </c>
      <c r="E94" t="s">
        <v>29</v>
      </c>
      <c r="F94" t="s">
        <v>9</v>
      </c>
      <c r="G94" t="s">
        <v>933</v>
      </c>
      <c r="H94" t="s">
        <v>996</v>
      </c>
    </row>
    <row r="95" spans="1:8" x14ac:dyDescent="0.25">
      <c r="A95" t="s">
        <v>31</v>
      </c>
      <c r="B95" t="str">
        <f>VLOOKUP(A95,IDE_ConOps_4_3_Model_LVL3!C:H,6,FALSE)</f>
        <v>The IDE 'Secure Platform' and 'IDE Capability Layer' components shall be hardened to comply with NIST SP 800-53 (Rev 5).</v>
      </c>
      <c r="C95" t="s">
        <v>6</v>
      </c>
      <c r="D95" s="1" t="s">
        <v>159</v>
      </c>
      <c r="E95" t="s">
        <v>33</v>
      </c>
      <c r="F95" t="s">
        <v>9</v>
      </c>
      <c r="G95" t="s">
        <v>934</v>
      </c>
      <c r="H95" t="s">
        <v>996</v>
      </c>
    </row>
    <row r="96" spans="1:8" x14ac:dyDescent="0.25">
      <c r="A96" t="s">
        <v>31</v>
      </c>
      <c r="B96" t="str">
        <f>VLOOKUP(A96,IDE_ConOps_4_3_Model_LVL3!C:H,6,FALSE)</f>
        <v>The IDE 'Secure Platform' and 'IDE Capability Layer' components shall be hardened to comply with NIST SP 800-53 (Rev 5).</v>
      </c>
      <c r="C96" t="s">
        <v>6</v>
      </c>
      <c r="D96" s="1" t="s">
        <v>160</v>
      </c>
      <c r="E96" t="s">
        <v>33</v>
      </c>
      <c r="F96" t="s">
        <v>9</v>
      </c>
      <c r="G96" t="s">
        <v>935</v>
      </c>
      <c r="H96" t="s">
        <v>996</v>
      </c>
    </row>
    <row r="97" spans="1:8" x14ac:dyDescent="0.25">
      <c r="A97" t="s">
        <v>161</v>
      </c>
      <c r="B97" t="str">
        <f>VLOOKUP(A97,IDE_ConOps_4_3_Model_LVL3!C:H,6,FALSE)</f>
        <v>The IDE (via the IDE Factory) shall produce and publish a validated 'upgrade package' in response to a critical CVE within 48 hours of public disclosure.</v>
      </c>
      <c r="C97" t="s">
        <v>6</v>
      </c>
      <c r="D97" s="1" t="s">
        <v>162</v>
      </c>
      <c r="E97" t="s">
        <v>163</v>
      </c>
      <c r="F97" t="s">
        <v>9</v>
      </c>
      <c r="G97" t="s">
        <v>936</v>
      </c>
      <c r="H97" t="s">
        <v>996</v>
      </c>
    </row>
    <row r="98" spans="1:8" x14ac:dyDescent="0.25">
      <c r="A98" t="s">
        <v>164</v>
      </c>
      <c r="B98" t="str">
        <f>VLOOKUP(A98,IDE_ConOps_4_3_Model_LVL3!C:H,6,FALSE)</f>
        <v>The IDE 'Secure Platform' and 'IDE Capability Layer' components shall be configured to comply with NIST SP 800-171 controls.</v>
      </c>
      <c r="C98" t="s">
        <v>6</v>
      </c>
      <c r="D98" s="1" t="s">
        <v>165</v>
      </c>
      <c r="E98" t="s">
        <v>33</v>
      </c>
      <c r="F98" t="s">
        <v>9</v>
      </c>
      <c r="G98" t="s">
        <v>937</v>
      </c>
      <c r="H98" t="s">
        <v>996</v>
      </c>
    </row>
    <row r="99" spans="1:8" x14ac:dyDescent="0.25">
      <c r="A99" t="s">
        <v>10</v>
      </c>
      <c r="B99" t="str">
        <f>VLOOKUP(A99,IDE_ConOps_4_3_Model_LVL3!C:H,6,FALSE)</f>
        <v>The IDE shall provide a 'Centralized Logging and Monitoring' service as a consolidated pipeline for all security audit events.</v>
      </c>
      <c r="C99" t="s">
        <v>6</v>
      </c>
      <c r="D99" s="1" t="s">
        <v>166</v>
      </c>
      <c r="E99" t="s">
        <v>12</v>
      </c>
      <c r="F99" t="s">
        <v>9</v>
      </c>
      <c r="G99" t="s">
        <v>938</v>
      </c>
      <c r="H99" t="s">
        <v>996</v>
      </c>
    </row>
    <row r="100" spans="1:8" x14ac:dyDescent="0.25">
      <c r="A100" t="s">
        <v>164</v>
      </c>
      <c r="B100" t="str">
        <f>VLOOKUP(A100,IDE_ConOps_4_3_Model_LVL3!C:H,6,FALSE)</f>
        <v>The IDE 'Secure Platform' and 'IDE Capability Layer' components shall be configured to comply with NIST SP 800-171 controls.</v>
      </c>
      <c r="C100" t="s">
        <v>6</v>
      </c>
      <c r="D100" s="1" t="s">
        <v>167</v>
      </c>
      <c r="E100" t="s">
        <v>33</v>
      </c>
      <c r="F100" t="s">
        <v>9</v>
      </c>
      <c r="G100" t="s">
        <v>939</v>
      </c>
      <c r="H100" t="s">
        <v>996</v>
      </c>
    </row>
    <row r="101" spans="1:8" x14ac:dyDescent="0.25">
      <c r="A101" t="s">
        <v>47</v>
      </c>
      <c r="B101" t="str">
        <f>VLOOKUP(A101,IDE_ConOps_4_3_Model_LVL3!C:H,6,FALSE)</f>
        <v>The IDE shall provide a mandated shared service for Centralized Authentication and Authorization (SSO) that functions as an identity broker, connecting to a customer-provided Identity Provider (IdP).</v>
      </c>
      <c r="C101" t="s">
        <v>6</v>
      </c>
      <c r="D101" s="1" t="s">
        <v>168</v>
      </c>
      <c r="E101" t="s">
        <v>49</v>
      </c>
      <c r="F101" t="s">
        <v>9</v>
      </c>
      <c r="G101" t="s">
        <v>940</v>
      </c>
      <c r="H101" t="s">
        <v>996</v>
      </c>
    </row>
    <row r="102" spans="1:8" x14ac:dyDescent="0.25">
      <c r="A102" t="s">
        <v>47</v>
      </c>
      <c r="B102" t="str">
        <f>VLOOKUP(A102,IDE_ConOps_4_3_Model_LVL3!C:H,6,FALSE)</f>
        <v>The IDE shall provide a mandated shared service for Centralized Authentication and Authorization (SSO) that functions as an identity broker, connecting to a customer-provided Identity Provider (IdP).</v>
      </c>
      <c r="C102" t="s">
        <v>6</v>
      </c>
      <c r="D102" s="1" t="s">
        <v>169</v>
      </c>
      <c r="E102" t="s">
        <v>49</v>
      </c>
      <c r="F102" t="s">
        <v>9</v>
      </c>
      <c r="G102" t="s">
        <v>941</v>
      </c>
      <c r="H102" t="s">
        <v>996</v>
      </c>
    </row>
    <row r="103" spans="1:8" x14ac:dyDescent="0.25">
      <c r="A103" t="s">
        <v>13</v>
      </c>
      <c r="B103" t="str">
        <f>VLOOKUP(A103,IDE_ConOps_4_3_Model_LVL3!C:H,6,FALSE)</f>
        <v>The 'Consolidated Admin Interface' shall provide a module for managing platform-level access permissions.</v>
      </c>
      <c r="C103" t="s">
        <v>6</v>
      </c>
      <c r="D103" s="1" t="s">
        <v>170</v>
      </c>
      <c r="E103" t="s">
        <v>8</v>
      </c>
      <c r="F103" t="s">
        <v>9</v>
      </c>
      <c r="G103" t="s">
        <v>942</v>
      </c>
      <c r="H103" t="s">
        <v>996</v>
      </c>
    </row>
    <row r="104" spans="1:8" x14ac:dyDescent="0.25">
      <c r="A104" t="s">
        <v>171</v>
      </c>
      <c r="B104" t="str">
        <f>VLOOKUP(A104,IDE_ConOps_4_3_Model_LVL3!C:H,6,FALSE)</f>
        <v>The IDE shall be delivered as a complete, 'opinionated stack'; deployment of the 'IDE Capability Layer' on a non-IDE platform shall not be supported.</v>
      </c>
      <c r="C104" t="s">
        <v>6</v>
      </c>
      <c r="D104" s="1" t="s">
        <v>172</v>
      </c>
      <c r="E104" t="s">
        <v>173</v>
      </c>
      <c r="F104" t="s">
        <v>9</v>
      </c>
      <c r="G104" t="s">
        <v>943</v>
      </c>
      <c r="H104" t="s">
        <v>996</v>
      </c>
    </row>
    <row r="105" spans="1:8" x14ac:dyDescent="0.25">
      <c r="A105" t="s">
        <v>174</v>
      </c>
      <c r="B105" t="str">
        <f>VLOOKUP(A105,IDE_ConOps_4_3_Model_LVL3!C:H,6,FALSE)</f>
        <v>The 'Cyber compliance evidence' package shall include the baseline System Security Plan (SSP) and control mappings.</v>
      </c>
      <c r="C105" t="s">
        <v>6</v>
      </c>
      <c r="D105" s="1" t="s">
        <v>175</v>
      </c>
      <c r="E105" t="s">
        <v>176</v>
      </c>
      <c r="F105" t="s">
        <v>9</v>
      </c>
      <c r="G105" t="s">
        <v>944</v>
      </c>
      <c r="H105" t="s">
        <v>996</v>
      </c>
    </row>
    <row r="106" spans="1:8" x14ac:dyDescent="0.25">
      <c r="A106" t="s">
        <v>177</v>
      </c>
      <c r="B106" t="str">
        <f>VLOOKUP(A106,IDE_ConOps_4_3_Model_LVL3!C:H,6,FALSE)</f>
        <v>The IDE shall include a formal, version-controlled Interface Control Document (ICD) as a core product deliverable that defines the technical and security 'contract' for integrating customer applications.</v>
      </c>
      <c r="C106" t="s">
        <v>6</v>
      </c>
      <c r="D106" s="1" t="s">
        <v>178</v>
      </c>
      <c r="E106" t="s">
        <v>102</v>
      </c>
      <c r="F106" t="s">
        <v>9</v>
      </c>
      <c r="G106" t="s">
        <v>945</v>
      </c>
      <c r="H106" t="s">
        <v>996</v>
      </c>
    </row>
    <row r="107" spans="1:8" x14ac:dyDescent="0.25">
      <c r="A107" t="s">
        <v>31</v>
      </c>
      <c r="B107" t="str">
        <f>VLOOKUP(A107,IDE_ConOps_4_3_Model_LVL3!C:H,6,FALSE)</f>
        <v>The IDE 'Secure Platform' and 'IDE Capability Layer' components shall be hardened to comply with NIST SP 800-53 (Rev 5).</v>
      </c>
      <c r="C107" t="s">
        <v>6</v>
      </c>
      <c r="D107" s="1" t="s">
        <v>179</v>
      </c>
      <c r="E107" t="s">
        <v>33</v>
      </c>
      <c r="F107" t="s">
        <v>9</v>
      </c>
      <c r="G107" t="s">
        <v>946</v>
      </c>
      <c r="H107" t="s">
        <v>996</v>
      </c>
    </row>
    <row r="108" spans="1:8" x14ac:dyDescent="0.25">
      <c r="A108" t="s">
        <v>180</v>
      </c>
      <c r="B108" t="str">
        <f>VLOOKUP(A108,IDE_ConOps_4_3_Model_LVL3!C:H,6,FALSE)</f>
        <v>The IDE platform shall be environment-agnostic, supporting deployment in on-premises, private cloud, public cloud, and fully air-gapped networks.</v>
      </c>
      <c r="C108" t="s">
        <v>6</v>
      </c>
      <c r="D108" s="1" t="s">
        <v>181</v>
      </c>
      <c r="E108" t="s">
        <v>182</v>
      </c>
      <c r="F108" t="s">
        <v>9</v>
      </c>
      <c r="G108" t="s">
        <v>947</v>
      </c>
      <c r="H108" t="s">
        <v>996</v>
      </c>
    </row>
    <row r="109" spans="1:8" x14ac:dyDescent="0.25">
      <c r="A109" t="s">
        <v>183</v>
      </c>
      <c r="B109" t="str">
        <f>VLOOKUP(A109,IDE_ConOps_4_3_Model_LVL3!C:H,6,FALSE)</f>
        <v>The 'Centralized Secrets Management' service shall encrypt secrets at rest and in transit using FIPS-approved algorithms.</v>
      </c>
      <c r="C109" t="s">
        <v>6</v>
      </c>
      <c r="D109" s="1" t="s">
        <v>184</v>
      </c>
      <c r="E109" t="s">
        <v>63</v>
      </c>
      <c r="F109" t="s">
        <v>9</v>
      </c>
      <c r="G109" t="s">
        <v>948</v>
      </c>
      <c r="H109" t="s">
        <v>996</v>
      </c>
    </row>
    <row r="110" spans="1:8" x14ac:dyDescent="0.25">
      <c r="A110" t="s">
        <v>10</v>
      </c>
      <c r="B110" t="str">
        <f>VLOOKUP(A110,IDE_ConOps_4_3_Model_LVL3!C:H,6,FALSE)</f>
        <v>The IDE shall provide a 'Centralized Logging and Monitoring' service as a consolidated pipeline for all security audit events.</v>
      </c>
      <c r="C110" t="s">
        <v>6</v>
      </c>
      <c r="D110" s="1" t="s">
        <v>185</v>
      </c>
      <c r="E110" t="s">
        <v>12</v>
      </c>
      <c r="F110" t="s">
        <v>9</v>
      </c>
      <c r="G110" t="s">
        <v>949</v>
      </c>
      <c r="H110" t="s">
        <v>996</v>
      </c>
    </row>
    <row r="111" spans="1:8" x14ac:dyDescent="0.25">
      <c r="A111" t="s">
        <v>31</v>
      </c>
      <c r="B111" t="str">
        <f>VLOOKUP(A111,IDE_ConOps_4_3_Model_LVL3!C:H,6,FALSE)</f>
        <v>The IDE 'Secure Platform' and 'IDE Capability Layer' components shall be hardened to comply with NIST SP 800-53 (Rev 5).</v>
      </c>
      <c r="C111" t="s">
        <v>6</v>
      </c>
      <c r="D111" s="1" t="s">
        <v>186</v>
      </c>
      <c r="E111" t="s">
        <v>33</v>
      </c>
      <c r="F111" t="s">
        <v>9</v>
      </c>
      <c r="G111" t="s">
        <v>950</v>
      </c>
      <c r="H111" t="s">
        <v>996</v>
      </c>
    </row>
    <row r="112" spans="1:8" x14ac:dyDescent="0.25">
      <c r="A112" t="s">
        <v>31</v>
      </c>
      <c r="B112" t="str">
        <f>VLOOKUP(A112,IDE_ConOps_4_3_Model_LVL3!C:H,6,FALSE)</f>
        <v>The IDE 'Secure Platform' and 'IDE Capability Layer' components shall be hardened to comply with NIST SP 800-53 (Rev 5).</v>
      </c>
      <c r="C112" t="s">
        <v>6</v>
      </c>
      <c r="D112" s="1" t="s">
        <v>187</v>
      </c>
      <c r="E112" t="s">
        <v>33</v>
      </c>
      <c r="F112" t="s">
        <v>9</v>
      </c>
      <c r="G112" t="s">
        <v>951</v>
      </c>
      <c r="H112" t="s">
        <v>996</v>
      </c>
    </row>
    <row r="113" spans="1:8" x14ac:dyDescent="0.25">
      <c r="A113" t="s">
        <v>10</v>
      </c>
      <c r="B113" t="str">
        <f>VLOOKUP(A113,IDE_ConOps_4_3_Model_LVL3!C:H,6,FALSE)</f>
        <v>The IDE shall provide a 'Centralized Logging and Monitoring' service as a consolidated pipeline for all security audit events.</v>
      </c>
      <c r="C113" t="s">
        <v>6</v>
      </c>
      <c r="D113" s="1" t="s">
        <v>188</v>
      </c>
      <c r="E113" t="s">
        <v>12</v>
      </c>
      <c r="F113" t="s">
        <v>9</v>
      </c>
      <c r="G113" t="s">
        <v>952</v>
      </c>
      <c r="H113" t="s">
        <v>996</v>
      </c>
    </row>
    <row r="114" spans="1:8" x14ac:dyDescent="0.25">
      <c r="A114" t="s">
        <v>152</v>
      </c>
      <c r="B114" t="str">
        <f>VLOOKUP(A114,IDE_ConOps_4_3_Model_LVL3!C:H,6,FALSE)</f>
        <v>The IDE shall provide a DoD DevSecOps compliant capability for Cyber Security Compliance (DAST) and container scanning.</v>
      </c>
      <c r="C114" t="s">
        <v>6</v>
      </c>
      <c r="D114" s="1" t="s">
        <v>189</v>
      </c>
      <c r="E114" t="s">
        <v>29</v>
      </c>
      <c r="F114" t="s">
        <v>9</v>
      </c>
      <c r="G114" t="s">
        <v>953</v>
      </c>
      <c r="H114" t="s">
        <v>996</v>
      </c>
    </row>
    <row r="115" spans="1:8" x14ac:dyDescent="0.25">
      <c r="A115" t="s">
        <v>31</v>
      </c>
      <c r="B115" t="str">
        <f>VLOOKUP(A115,IDE_ConOps_4_3_Model_LVL3!C:H,6,FALSE)</f>
        <v>The IDE 'Secure Platform' and 'IDE Capability Layer' components shall be hardened to comply with NIST SP 800-53 (Rev 5).</v>
      </c>
      <c r="C115" t="s">
        <v>6</v>
      </c>
      <c r="D115" s="1" t="s">
        <v>190</v>
      </c>
      <c r="E115" t="s">
        <v>33</v>
      </c>
      <c r="F115" t="s">
        <v>9</v>
      </c>
      <c r="G115" t="s">
        <v>954</v>
      </c>
      <c r="H115" t="s">
        <v>996</v>
      </c>
    </row>
    <row r="116" spans="1:8" x14ac:dyDescent="0.25">
      <c r="A116" t="s">
        <v>191</v>
      </c>
      <c r="B116" t="str">
        <f>VLOOKUP(A116,IDE_ConOps_4_3_Model_LVL3!C:H,6,FALSE)</f>
        <v>The IDE shall provide a DoD DevSecOps compliant capability for Code Quality and Static Analysis (SAST).</v>
      </c>
      <c r="C116" t="s">
        <v>6</v>
      </c>
      <c r="D116" s="1" t="s">
        <v>192</v>
      </c>
      <c r="E116" t="s">
        <v>29</v>
      </c>
      <c r="F116" t="s">
        <v>9</v>
      </c>
      <c r="G116" t="s">
        <v>955</v>
      </c>
      <c r="H116" t="s">
        <v>996</v>
      </c>
    </row>
    <row r="117" spans="1:8" x14ac:dyDescent="0.25">
      <c r="A117" t="s">
        <v>125</v>
      </c>
      <c r="B117" t="str">
        <f>VLOOKUP(A117,IDE_ConOps_4_3_Model_LVL3!C:H,6,FALSE)</f>
        <v>The 'Consolidated Admin Interface' shall provide a module for managing user accounts.</v>
      </c>
      <c r="C117" t="s">
        <v>6</v>
      </c>
      <c r="D117" s="1" t="s">
        <v>193</v>
      </c>
      <c r="E117" t="s">
        <v>8</v>
      </c>
      <c r="F117" t="s">
        <v>9</v>
      </c>
      <c r="G117" t="s">
        <v>956</v>
      </c>
      <c r="H117" t="s">
        <v>996</v>
      </c>
    </row>
    <row r="118" spans="1:8" x14ac:dyDescent="0.25">
      <c r="A118" t="s">
        <v>10</v>
      </c>
      <c r="B118" t="str">
        <f>VLOOKUP(A118,IDE_ConOps_4_3_Model_LVL3!C:H,6,FALSE)</f>
        <v>The IDE shall provide a 'Centralized Logging and Monitoring' service as a consolidated pipeline for all security audit events.</v>
      </c>
      <c r="C118" t="s">
        <v>6</v>
      </c>
      <c r="D118" s="1" t="s">
        <v>194</v>
      </c>
      <c r="E118" t="s">
        <v>12</v>
      </c>
      <c r="F118" t="s">
        <v>9</v>
      </c>
      <c r="G118" t="s">
        <v>957</v>
      </c>
      <c r="H118" t="s">
        <v>996</v>
      </c>
    </row>
    <row r="119" spans="1:8" x14ac:dyDescent="0.25">
      <c r="A119" t="s">
        <v>10</v>
      </c>
      <c r="B119" t="str">
        <f>VLOOKUP(A119,IDE_ConOps_4_3_Model_LVL3!C:H,6,FALSE)</f>
        <v>The IDE shall provide a 'Centralized Logging and Monitoring' service as a consolidated pipeline for all security audit events.</v>
      </c>
      <c r="C119" t="s">
        <v>6</v>
      </c>
      <c r="D119" s="1" t="s">
        <v>195</v>
      </c>
      <c r="E119" t="s">
        <v>12</v>
      </c>
      <c r="F119" t="s">
        <v>9</v>
      </c>
      <c r="G119" t="s">
        <v>958</v>
      </c>
      <c r="H119" t="s">
        <v>996</v>
      </c>
    </row>
    <row r="120" spans="1:8" x14ac:dyDescent="0.25">
      <c r="A120" t="s">
        <v>10</v>
      </c>
      <c r="B120" t="str">
        <f>VLOOKUP(A120,IDE_ConOps_4_3_Model_LVL3!C:H,6,FALSE)</f>
        <v>The IDE shall provide a 'Centralized Logging and Monitoring' service as a consolidated pipeline for all security audit events.</v>
      </c>
      <c r="C120" t="s">
        <v>6</v>
      </c>
      <c r="D120" s="1" t="s">
        <v>196</v>
      </c>
      <c r="E120" t="s">
        <v>12</v>
      </c>
      <c r="F120" t="s">
        <v>9</v>
      </c>
      <c r="G120" t="s">
        <v>959</v>
      </c>
      <c r="H120" t="s">
        <v>996</v>
      </c>
    </row>
    <row r="121" spans="1:8" x14ac:dyDescent="0.25">
      <c r="A121" t="s">
        <v>10</v>
      </c>
      <c r="B121" t="str">
        <f>VLOOKUP(A121,IDE_ConOps_4_3_Model_LVL3!C:H,6,FALSE)</f>
        <v>The IDE shall provide a 'Centralized Logging and Monitoring' service as a consolidated pipeline for all security audit events.</v>
      </c>
      <c r="C121" t="s">
        <v>6</v>
      </c>
      <c r="D121" s="1" t="s">
        <v>197</v>
      </c>
      <c r="E121" t="s">
        <v>12</v>
      </c>
      <c r="F121" t="s">
        <v>9</v>
      </c>
      <c r="G121" t="s">
        <v>960</v>
      </c>
      <c r="H121" t="s">
        <v>996</v>
      </c>
    </row>
    <row r="122" spans="1:8" x14ac:dyDescent="0.25">
      <c r="A122" t="s">
        <v>164</v>
      </c>
      <c r="B122" t="str">
        <f>VLOOKUP(A122,IDE_ConOps_4_3_Model_LVL3!C:H,6,FALSE)</f>
        <v>The IDE 'Secure Platform' and 'IDE Capability Layer' components shall be configured to comply with NIST SP 800-171 controls.</v>
      </c>
      <c r="C122" t="s">
        <v>6</v>
      </c>
      <c r="D122" s="1" t="s">
        <v>198</v>
      </c>
      <c r="E122" t="s">
        <v>33</v>
      </c>
      <c r="F122" t="s">
        <v>9</v>
      </c>
      <c r="G122" t="s">
        <v>961</v>
      </c>
      <c r="H122" t="s">
        <v>996</v>
      </c>
    </row>
    <row r="123" spans="1:8" x14ac:dyDescent="0.25">
      <c r="A123" t="s">
        <v>174</v>
      </c>
      <c r="B123" t="str">
        <f>VLOOKUP(A123,IDE_ConOps_4_3_Model_LVL3!C:H,6,FALSE)</f>
        <v>The 'Cyber compliance evidence' package shall include the baseline System Security Plan (SSP) and control mappings.</v>
      </c>
      <c r="C123" t="s">
        <v>6</v>
      </c>
      <c r="D123" s="1" t="s">
        <v>199</v>
      </c>
      <c r="E123" t="s">
        <v>176</v>
      </c>
      <c r="F123" t="s">
        <v>9</v>
      </c>
      <c r="G123" t="s">
        <v>962</v>
      </c>
      <c r="H123" t="s">
        <v>996</v>
      </c>
    </row>
    <row r="124" spans="1:8" x14ac:dyDescent="0.25">
      <c r="A124" t="s">
        <v>174</v>
      </c>
      <c r="B124" t="str">
        <f>VLOOKUP(A124,IDE_ConOps_4_3_Model_LVL3!C:H,6,FALSE)</f>
        <v>The 'Cyber compliance evidence' package shall include the baseline System Security Plan (SSP) and control mappings.</v>
      </c>
      <c r="C124" t="s">
        <v>6</v>
      </c>
      <c r="D124" s="1" t="s">
        <v>200</v>
      </c>
      <c r="E124" t="s">
        <v>176</v>
      </c>
      <c r="F124" t="s">
        <v>9</v>
      </c>
      <c r="G124" t="s">
        <v>963</v>
      </c>
      <c r="H124" t="s">
        <v>996</v>
      </c>
    </row>
    <row r="125" spans="1:8" x14ac:dyDescent="0.25">
      <c r="A125" t="s">
        <v>174</v>
      </c>
      <c r="B125" t="str">
        <f>VLOOKUP(A125,IDE_ConOps_4_3_Model_LVL3!C:H,6,FALSE)</f>
        <v>The 'Cyber compliance evidence' package shall include the baseline System Security Plan (SSP) and control mappings.</v>
      </c>
      <c r="C125" t="s">
        <v>6</v>
      </c>
      <c r="D125" s="1" t="s">
        <v>201</v>
      </c>
      <c r="E125" t="s">
        <v>176</v>
      </c>
      <c r="F125" t="s">
        <v>9</v>
      </c>
      <c r="G125" t="s">
        <v>964</v>
      </c>
      <c r="H125" t="s">
        <v>996</v>
      </c>
    </row>
    <row r="126" spans="1:8" x14ac:dyDescent="0.25">
      <c r="A126" t="s">
        <v>191</v>
      </c>
      <c r="B126" t="str">
        <f>VLOOKUP(A126,IDE_ConOps_4_3_Model_LVL3!C:H,6,FALSE)</f>
        <v>The IDE shall provide a DoD DevSecOps compliant capability for Code Quality and Static Analysis (SAST).</v>
      </c>
      <c r="C126" t="s">
        <v>6</v>
      </c>
      <c r="D126" s="1" t="s">
        <v>202</v>
      </c>
      <c r="E126" t="s">
        <v>29</v>
      </c>
      <c r="F126" t="s">
        <v>9</v>
      </c>
      <c r="G126" t="s">
        <v>965</v>
      </c>
      <c r="H126" t="s">
        <v>996</v>
      </c>
    </row>
    <row r="127" spans="1:8" x14ac:dyDescent="0.25">
      <c r="A127" t="s">
        <v>31</v>
      </c>
      <c r="B127" t="str">
        <f>VLOOKUP(A127,IDE_ConOps_4_3_Model_LVL3!C:H,6,FALSE)</f>
        <v>The IDE 'Secure Platform' and 'IDE Capability Layer' components shall be hardened to comply with NIST SP 800-53 (Rev 5).</v>
      </c>
      <c r="C127" t="s">
        <v>6</v>
      </c>
      <c r="D127" s="1" t="s">
        <v>203</v>
      </c>
      <c r="E127" t="s">
        <v>33</v>
      </c>
      <c r="F127" t="s">
        <v>9</v>
      </c>
      <c r="G127" t="s">
        <v>966</v>
      </c>
      <c r="H127" t="s">
        <v>996</v>
      </c>
    </row>
    <row r="128" spans="1:8" x14ac:dyDescent="0.25">
      <c r="A128" t="s">
        <v>204</v>
      </c>
      <c r="B128" t="str">
        <f>VLOOKUP(A128,IDE_ConOps_4_3_Model_LVL3!C:H,6,FALSE)</f>
        <v>The IDE 'Secure Platform' and 'IDE Capability Layer' components shall be configured to comply with NIST SP 800-53 (Rev 5).</v>
      </c>
      <c r="C128" t="s">
        <v>6</v>
      </c>
      <c r="D128" s="1" t="s">
        <v>205</v>
      </c>
      <c r="E128" t="s">
        <v>33</v>
      </c>
      <c r="F128" t="s">
        <v>9</v>
      </c>
      <c r="G128" t="s">
        <v>967</v>
      </c>
      <c r="H128" t="s">
        <v>996</v>
      </c>
    </row>
    <row r="129" spans="1:8" x14ac:dyDescent="0.25">
      <c r="A129" t="s">
        <v>171</v>
      </c>
      <c r="B129" t="str">
        <f>VLOOKUP(A129,IDE_ConOps_4_3_Model_LVL3!C:H,6,FALSE)</f>
        <v>The IDE shall be delivered as a complete, 'opinionated stack'; deployment of the 'IDE Capability Layer' on a non-IDE platform shall not be supported.</v>
      </c>
      <c r="C129" t="s">
        <v>6</v>
      </c>
      <c r="D129" s="1" t="s">
        <v>206</v>
      </c>
      <c r="E129" t="s">
        <v>173</v>
      </c>
      <c r="F129" t="s">
        <v>9</v>
      </c>
      <c r="G129" t="s">
        <v>968</v>
      </c>
      <c r="H129" t="s">
        <v>996</v>
      </c>
    </row>
    <row r="130" spans="1:8" x14ac:dyDescent="0.25">
      <c r="A130" t="s">
        <v>171</v>
      </c>
      <c r="B130" t="str">
        <f>VLOOKUP(A130,IDE_ConOps_4_3_Model_LVL3!C:H,6,FALSE)</f>
        <v>The IDE shall be delivered as a complete, 'opinionated stack'; deployment of the 'IDE Capability Layer' on a non-IDE platform shall not be supported.</v>
      </c>
      <c r="C130" t="s">
        <v>6</v>
      </c>
      <c r="D130" s="1" t="s">
        <v>207</v>
      </c>
      <c r="E130" t="s">
        <v>173</v>
      </c>
      <c r="F130" t="s">
        <v>9</v>
      </c>
      <c r="G130" t="s">
        <v>969</v>
      </c>
      <c r="H130" t="s">
        <v>996</v>
      </c>
    </row>
    <row r="131" spans="1:8" x14ac:dyDescent="0.25">
      <c r="A131" t="s">
        <v>161</v>
      </c>
      <c r="B131" t="str">
        <f>VLOOKUP(A131,IDE_ConOps_4_3_Model_LVL3!C:H,6,FALSE)</f>
        <v>The IDE (via the IDE Factory) shall produce and publish a validated 'upgrade package' in response to a critical CVE within 48 hours of public disclosure.</v>
      </c>
      <c r="C131" t="s">
        <v>6</v>
      </c>
      <c r="D131" s="1" t="s">
        <v>208</v>
      </c>
      <c r="E131" t="s">
        <v>163</v>
      </c>
      <c r="F131" t="s">
        <v>9</v>
      </c>
      <c r="G131" t="s">
        <v>970</v>
      </c>
      <c r="H131" t="s">
        <v>996</v>
      </c>
    </row>
    <row r="132" spans="1:8" x14ac:dyDescent="0.25">
      <c r="A132" t="s">
        <v>149</v>
      </c>
      <c r="B132" t="str">
        <f>VLOOKUP(A132,IDE_ConOps_4_3_Model_LVL3!C:H,6,FALSE)</f>
        <v>The IDE shall assign each AI agent a distinct, non-human identity (service account) with a unique, role-based access control (RBAC) profile.</v>
      </c>
      <c r="C132" t="s">
        <v>6</v>
      </c>
      <c r="D132" s="1" t="s">
        <v>209</v>
      </c>
      <c r="E132" t="s">
        <v>151</v>
      </c>
      <c r="F132" t="s">
        <v>9</v>
      </c>
      <c r="G132" t="s">
        <v>971</v>
      </c>
      <c r="H132" t="s">
        <v>996</v>
      </c>
    </row>
    <row r="133" spans="1:8" x14ac:dyDescent="0.25">
      <c r="A133" t="s">
        <v>47</v>
      </c>
      <c r="B133" t="str">
        <f>VLOOKUP(A133,IDE_ConOps_4_3_Model_LVL3!C:H,6,FALSE)</f>
        <v>The IDE shall provide a mandated shared service for Centralized Authentication and Authorization (SSO) that functions as an identity broker, connecting to a customer-provided Identity Provider (IdP).</v>
      </c>
      <c r="C133" t="s">
        <v>6</v>
      </c>
      <c r="D133" s="1" t="s">
        <v>210</v>
      </c>
      <c r="E133" t="s">
        <v>49</v>
      </c>
      <c r="F133" t="s">
        <v>9</v>
      </c>
      <c r="G133" t="s">
        <v>972</v>
      </c>
      <c r="H133" t="s">
        <v>996</v>
      </c>
    </row>
    <row r="134" spans="1:8" x14ac:dyDescent="0.25">
      <c r="A134" t="s">
        <v>125</v>
      </c>
      <c r="B134" t="str">
        <f>VLOOKUP(A134,IDE_ConOps_4_3_Model_LVL3!C:H,6,FALSE)</f>
        <v>The 'Consolidated Admin Interface' shall provide a module for managing user accounts.</v>
      </c>
      <c r="C134" t="s">
        <v>6</v>
      </c>
      <c r="D134" s="1" t="s">
        <v>211</v>
      </c>
      <c r="E134" t="s">
        <v>8</v>
      </c>
      <c r="F134" t="s">
        <v>9</v>
      </c>
      <c r="G134" t="s">
        <v>973</v>
      </c>
      <c r="H134" t="s">
        <v>996</v>
      </c>
    </row>
    <row r="135" spans="1:8" x14ac:dyDescent="0.25">
      <c r="A135" t="s">
        <v>47</v>
      </c>
      <c r="B135" t="str">
        <f>VLOOKUP(A135,IDE_ConOps_4_3_Model_LVL3!C:H,6,FALSE)</f>
        <v>The IDE shall provide a mandated shared service for Centralized Authentication and Authorization (SSO) that functions as an identity broker, connecting to a customer-provided Identity Provider (IdP).</v>
      </c>
      <c r="C135" t="s">
        <v>6</v>
      </c>
      <c r="D135" s="1" t="s">
        <v>212</v>
      </c>
      <c r="E135" t="s">
        <v>49</v>
      </c>
      <c r="F135" t="s">
        <v>9</v>
      </c>
      <c r="G135" t="s">
        <v>974</v>
      </c>
      <c r="H135" t="s">
        <v>996</v>
      </c>
    </row>
    <row r="136" spans="1:8" x14ac:dyDescent="0.25">
      <c r="A136" t="s">
        <v>31</v>
      </c>
      <c r="B136" t="str">
        <f>VLOOKUP(A136,IDE_ConOps_4_3_Model_LVL3!C:H,6,FALSE)</f>
        <v>The IDE 'Secure Platform' and 'IDE Capability Layer' components shall be hardened to comply with NIST SP 800-53 (Rev 5).</v>
      </c>
      <c r="C136" t="s">
        <v>6</v>
      </c>
      <c r="D136" s="1" t="s">
        <v>213</v>
      </c>
      <c r="E136" t="s">
        <v>33</v>
      </c>
      <c r="F136" t="s">
        <v>9</v>
      </c>
      <c r="G136" t="s">
        <v>975</v>
      </c>
      <c r="H136" t="s">
        <v>996</v>
      </c>
    </row>
    <row r="137" spans="1:8" x14ac:dyDescent="0.25">
      <c r="A137" t="s">
        <v>47</v>
      </c>
      <c r="B137" t="str">
        <f>VLOOKUP(A137,IDE_ConOps_4_3_Model_LVL3!C:H,6,FALSE)</f>
        <v>The IDE shall provide a mandated shared service for Centralized Authentication and Authorization (SSO) that functions as an identity broker, connecting to a customer-provided Identity Provider (IdP).</v>
      </c>
      <c r="C137" t="s">
        <v>6</v>
      </c>
      <c r="D137" s="1" t="s">
        <v>214</v>
      </c>
      <c r="E137" t="s">
        <v>49</v>
      </c>
      <c r="F137" t="s">
        <v>9</v>
      </c>
      <c r="G137" t="s">
        <v>976</v>
      </c>
      <c r="H137" t="s">
        <v>996</v>
      </c>
    </row>
    <row r="138" spans="1:8" x14ac:dyDescent="0.25">
      <c r="A138" t="s">
        <v>215</v>
      </c>
      <c r="B138" t="str">
        <f>VLOOKUP(A138,IDE_ConOps_4_3_Model_LVL3!C:H,6,FALSE)</f>
        <v>The mandated shared 'Service Mesh' shall enforce zero-trust security via mutually authenticated mTLS for all service-to-service communication.</v>
      </c>
      <c r="C138" t="s">
        <v>6</v>
      </c>
      <c r="D138" s="1" t="s">
        <v>216</v>
      </c>
      <c r="E138" t="s">
        <v>63</v>
      </c>
      <c r="F138" t="s">
        <v>9</v>
      </c>
      <c r="G138" t="s">
        <v>977</v>
      </c>
      <c r="H138" t="s">
        <v>996</v>
      </c>
    </row>
    <row r="139" spans="1:8" x14ac:dyDescent="0.25">
      <c r="A139" t="s">
        <v>145</v>
      </c>
      <c r="B139" t="str">
        <f>VLOOKUP(A139,IDE_ConOps_4_3_Model_LVL3!C:H,6,FALSE)</f>
        <v>The 'Consolidated Admin Interface' shall provide a module for managing user roles.</v>
      </c>
      <c r="C139" t="s">
        <v>6</v>
      </c>
      <c r="D139" s="1" t="s">
        <v>217</v>
      </c>
      <c r="E139" t="s">
        <v>8</v>
      </c>
      <c r="F139" t="s">
        <v>9</v>
      </c>
      <c r="G139" t="s">
        <v>978</v>
      </c>
      <c r="H139" t="s">
        <v>996</v>
      </c>
    </row>
    <row r="140" spans="1:8" x14ac:dyDescent="0.25">
      <c r="A140" t="s">
        <v>31</v>
      </c>
      <c r="B140" t="str">
        <f>VLOOKUP(A140,IDE_ConOps_4_3_Model_LVL3!C:H,6,FALSE)</f>
        <v>The IDE 'Secure Platform' and 'IDE Capability Layer' components shall be hardened to comply with NIST SP 800-53 (Rev 5).</v>
      </c>
      <c r="C140" t="s">
        <v>6</v>
      </c>
      <c r="D140" s="1" t="s">
        <v>218</v>
      </c>
      <c r="E140" t="s">
        <v>33</v>
      </c>
      <c r="F140" t="s">
        <v>9</v>
      </c>
      <c r="G140" t="s">
        <v>979</v>
      </c>
      <c r="H140" t="s">
        <v>996</v>
      </c>
    </row>
    <row r="141" spans="1:8" x14ac:dyDescent="0.25">
      <c r="A141" t="s">
        <v>13</v>
      </c>
      <c r="B141" t="str">
        <f>VLOOKUP(A141,IDE_ConOps_4_3_Model_LVL3!C:H,6,FALSE)</f>
        <v>The 'Consolidated Admin Interface' shall provide a module for managing platform-level access permissions.</v>
      </c>
      <c r="C141" t="s">
        <v>6</v>
      </c>
      <c r="D141" s="1" t="s">
        <v>219</v>
      </c>
      <c r="E141" t="s">
        <v>8</v>
      </c>
      <c r="F141" t="s">
        <v>9</v>
      </c>
      <c r="G141" t="s">
        <v>980</v>
      </c>
      <c r="H141" t="s">
        <v>996</v>
      </c>
    </row>
    <row r="142" spans="1:8" x14ac:dyDescent="0.25">
      <c r="A142" t="s">
        <v>31</v>
      </c>
      <c r="B142" t="str">
        <f>VLOOKUP(A142,IDE_ConOps_4_3_Model_LVL3!C:H,6,FALSE)</f>
        <v>The IDE 'Secure Platform' and 'IDE Capability Layer' components shall be hardened to comply with NIST SP 800-53 (Rev 5).</v>
      </c>
      <c r="C142" t="s">
        <v>6</v>
      </c>
      <c r="D142" s="1" t="s">
        <v>220</v>
      </c>
      <c r="E142" t="s">
        <v>33</v>
      </c>
      <c r="F142" t="s">
        <v>9</v>
      </c>
      <c r="G142" t="s">
        <v>981</v>
      </c>
      <c r="H142" t="s">
        <v>996</v>
      </c>
    </row>
    <row r="143" spans="1:8" x14ac:dyDescent="0.25">
      <c r="A143" t="s">
        <v>5</v>
      </c>
      <c r="B143" t="str">
        <f>VLOOKUP(A143,IDE_ConOps_4_3_Model_LVL3!C:H,6,FALSE)</f>
        <v>The IDE shall provide a 'Consolidated Admin Interface' as a secure, web-based UI to provide a single pane of glass for L1/L2 administrative tasks.</v>
      </c>
      <c r="C143" t="s">
        <v>6</v>
      </c>
      <c r="D143" s="1" t="s">
        <v>221</v>
      </c>
      <c r="E143" t="s">
        <v>8</v>
      </c>
      <c r="F143" t="s">
        <v>9</v>
      </c>
      <c r="G143" t="s">
        <v>982</v>
      </c>
      <c r="H143" t="s">
        <v>996</v>
      </c>
    </row>
    <row r="144" spans="1:8" x14ac:dyDescent="0.25">
      <c r="A144" t="s">
        <v>161</v>
      </c>
      <c r="B144" t="str">
        <f>VLOOKUP(A144,IDE_ConOps_4_3_Model_LVL3!C:H,6,FALSE)</f>
        <v>The IDE (via the IDE Factory) shall produce and publish a validated 'upgrade package' in response to a critical CVE within 48 hours of public disclosure.</v>
      </c>
      <c r="C144" t="s">
        <v>6</v>
      </c>
      <c r="D144" s="1" t="s">
        <v>222</v>
      </c>
      <c r="E144" t="s">
        <v>163</v>
      </c>
      <c r="F144" t="s">
        <v>9</v>
      </c>
      <c r="G144" t="s">
        <v>983</v>
      </c>
      <c r="H144" t="s">
        <v>996</v>
      </c>
    </row>
    <row r="145" spans="1:8" x14ac:dyDescent="0.25">
      <c r="A145" t="s">
        <v>215</v>
      </c>
      <c r="B145" t="str">
        <f>VLOOKUP(A145,IDE_ConOps_4_3_Model_LVL3!C:H,6,FALSE)</f>
        <v>The mandated shared 'Service Mesh' shall enforce zero-trust security via mutually authenticated mTLS for all service-to-service communication.</v>
      </c>
      <c r="C145" t="s">
        <v>6</v>
      </c>
      <c r="D145" s="1" t="s">
        <v>223</v>
      </c>
      <c r="E145" t="s">
        <v>63</v>
      </c>
      <c r="F145" t="s">
        <v>9</v>
      </c>
      <c r="G145" t="s">
        <v>984</v>
      </c>
      <c r="H145" t="s">
        <v>996</v>
      </c>
    </row>
    <row r="146" spans="1:8" x14ac:dyDescent="0.25">
      <c r="A146" t="s">
        <v>180</v>
      </c>
      <c r="B146" t="str">
        <f>VLOOKUP(A146,IDE_ConOps_4_3_Model_LVL3!C:H,6,FALSE)</f>
        <v>The IDE platform shall be environment-agnostic, supporting deployment in on-premises, private cloud, public cloud, and fully air-gapped networks.</v>
      </c>
      <c r="C146" t="s">
        <v>6</v>
      </c>
      <c r="D146" s="1" t="s">
        <v>224</v>
      </c>
      <c r="E146" t="s">
        <v>182</v>
      </c>
      <c r="F146" t="s">
        <v>9</v>
      </c>
      <c r="G146" t="s">
        <v>985</v>
      </c>
      <c r="H146" t="s">
        <v>996</v>
      </c>
    </row>
    <row r="147" spans="1:8" x14ac:dyDescent="0.25">
      <c r="A147" t="s">
        <v>152</v>
      </c>
      <c r="B147" t="str">
        <f>VLOOKUP(A147,IDE_ConOps_4_3_Model_LVL3!C:H,6,FALSE)</f>
        <v>The IDE shall provide a DoD DevSecOps compliant capability for Cyber Security Compliance (DAST) and container scanning.</v>
      </c>
      <c r="C147" t="s">
        <v>6</v>
      </c>
      <c r="D147" s="1" t="s">
        <v>225</v>
      </c>
      <c r="E147" t="s">
        <v>29</v>
      </c>
      <c r="F147" t="s">
        <v>9</v>
      </c>
      <c r="G147" t="s">
        <v>986</v>
      </c>
      <c r="H147" t="s">
        <v>996</v>
      </c>
    </row>
    <row r="148" spans="1:8" x14ac:dyDescent="0.25">
      <c r="A148" t="s">
        <v>31</v>
      </c>
      <c r="B148" t="str">
        <f>VLOOKUP(A148,IDE_ConOps_4_3_Model_LVL3!C:H,6,FALSE)</f>
        <v>The IDE 'Secure Platform' and 'IDE Capability Layer' components shall be hardened to comply with NIST SP 800-53 (Rev 5).</v>
      </c>
      <c r="C148" t="s">
        <v>6</v>
      </c>
      <c r="D148" s="1" t="s">
        <v>226</v>
      </c>
      <c r="E148" t="s">
        <v>33</v>
      </c>
      <c r="F148" t="s">
        <v>9</v>
      </c>
      <c r="G148" t="s">
        <v>987</v>
      </c>
      <c r="H148" t="s">
        <v>996</v>
      </c>
    </row>
    <row r="149" spans="1:8" x14ac:dyDescent="0.25">
      <c r="A149" t="s">
        <v>227</v>
      </c>
      <c r="B149" t="str">
        <f>VLOOKUP(A149,IDE_ConOps_4_3_Model_LVL3!C:H,6,FALSE)</f>
        <v>The IDE baseline shall be maintained under a formal Continuous Authorization to Operate (cATO) process, enabled by a provider-side DevSecOps pipeline and customer-side Continuous Monitoring (CONMON).</v>
      </c>
      <c r="C149" t="s">
        <v>6</v>
      </c>
      <c r="D149" s="1" t="s">
        <v>228</v>
      </c>
      <c r="E149" t="s">
        <v>229</v>
      </c>
      <c r="F149" t="s">
        <v>9</v>
      </c>
      <c r="G149" t="s">
        <v>988</v>
      </c>
      <c r="H149" t="s">
        <v>996</v>
      </c>
    </row>
    <row r="150" spans="1:8" x14ac:dyDescent="0.25">
      <c r="A150" t="s">
        <v>227</v>
      </c>
      <c r="B150" t="str">
        <f>VLOOKUP(A150,IDE_ConOps_4_3_Model_LVL3!C:H,6,FALSE)</f>
        <v>The IDE baseline shall be maintained under a formal Continuous Authorization to Operate (cATO) process, enabled by a provider-side DevSecOps pipeline and customer-side Continuous Monitoring (CONMON).</v>
      </c>
      <c r="C150" t="s">
        <v>6</v>
      </c>
      <c r="D150" s="1" t="s">
        <v>230</v>
      </c>
      <c r="E150" t="s">
        <v>229</v>
      </c>
      <c r="F150" t="s">
        <v>9</v>
      </c>
      <c r="G150" t="s">
        <v>989</v>
      </c>
      <c r="H150" t="s">
        <v>996</v>
      </c>
    </row>
    <row r="151" spans="1:8" x14ac:dyDescent="0.25">
      <c r="A151" t="s">
        <v>145</v>
      </c>
      <c r="B151" t="str">
        <f>VLOOKUP(A151,IDE_ConOps_4_3_Model_LVL3!C:H,6,FALSE)</f>
        <v>The 'Consolidated Admin Interface' shall provide a module for managing user roles.</v>
      </c>
      <c r="C151" t="s">
        <v>6</v>
      </c>
      <c r="D151" s="1" t="s">
        <v>231</v>
      </c>
      <c r="E151" t="s">
        <v>8</v>
      </c>
      <c r="F151" t="s">
        <v>9</v>
      </c>
      <c r="G151" t="s">
        <v>990</v>
      </c>
      <c r="H151" t="s">
        <v>996</v>
      </c>
    </row>
    <row r="152" spans="1:8" x14ac:dyDescent="0.25">
      <c r="A152" t="s">
        <v>5</v>
      </c>
      <c r="B152" t="str">
        <f>VLOOKUP(A152,IDE_ConOps_4_3_Model_LVL3!C:H,6,FALSE)</f>
        <v>The IDE shall provide a 'Consolidated Admin Interface' as a secure, web-based UI to provide a single pane of glass for L1/L2 administrative tasks.</v>
      </c>
      <c r="C152" t="s">
        <v>6</v>
      </c>
      <c r="D152" s="1" t="s">
        <v>232</v>
      </c>
      <c r="E152" t="s">
        <v>8</v>
      </c>
      <c r="F152" t="s">
        <v>9</v>
      </c>
      <c r="G152" t="s">
        <v>991</v>
      </c>
      <c r="H152" t="s">
        <v>996</v>
      </c>
    </row>
    <row r="153" spans="1:8" x14ac:dyDescent="0.25">
      <c r="A153" t="s">
        <v>132</v>
      </c>
      <c r="B153" t="str">
        <f>VLOOKUP(A153,IDE_ConOps_4_3_Model_LVL3!C:H,6,FALSE)</f>
        <v>The IDE shall complete the 'Platform Patching and Upgrades' scenario (Scenario 5.2.2), from execution of the upgrade command to operational readiness, in under one (1) hour.</v>
      </c>
      <c r="C153" t="s">
        <v>6</v>
      </c>
      <c r="D153" s="1" t="s">
        <v>233</v>
      </c>
      <c r="E153" t="s">
        <v>134</v>
      </c>
      <c r="F153" t="s">
        <v>9</v>
      </c>
      <c r="G153" t="s">
        <v>992</v>
      </c>
      <c r="H153" t="s">
        <v>996</v>
      </c>
    </row>
    <row r="154" spans="1:8" x14ac:dyDescent="0.25">
      <c r="A154" t="s">
        <v>125</v>
      </c>
      <c r="B154" t="str">
        <f>VLOOKUP(A154,IDE_ConOps_4_3_Model_LVL3!C:H,6,FALSE)</f>
        <v>The 'Consolidated Admin Interface' shall provide a module for managing user accounts.</v>
      </c>
      <c r="C154" t="s">
        <v>6</v>
      </c>
      <c r="D154" s="1" t="s">
        <v>234</v>
      </c>
      <c r="E154" t="s">
        <v>8</v>
      </c>
      <c r="F154" t="s">
        <v>9</v>
      </c>
      <c r="G154" t="s">
        <v>993</v>
      </c>
      <c r="H154" t="s">
        <v>996</v>
      </c>
    </row>
    <row r="155" spans="1:8" x14ac:dyDescent="0.25">
      <c r="A155" t="s">
        <v>145</v>
      </c>
      <c r="B155" t="str">
        <f>VLOOKUP(A155,IDE_ConOps_4_3_Model_LVL3!C:H,6,FALSE)</f>
        <v>The 'Consolidated Admin Interface' shall provide a module for managing user roles.</v>
      </c>
      <c r="C155" t="s">
        <v>6</v>
      </c>
      <c r="D155" s="1" t="s">
        <v>235</v>
      </c>
      <c r="E155" t="s">
        <v>8</v>
      </c>
      <c r="F155" t="s">
        <v>9</v>
      </c>
      <c r="G155" t="s">
        <v>994</v>
      </c>
      <c r="H155" t="s">
        <v>996</v>
      </c>
    </row>
    <row r="156" spans="1:8" x14ac:dyDescent="0.25">
      <c r="A156" t="s">
        <v>125</v>
      </c>
      <c r="B156" t="str">
        <f>VLOOKUP(A156,IDE_ConOps_4_3_Model_LVL3!C:H,6,FALSE)</f>
        <v>The 'Consolidated Admin Interface' shall provide a module for managing user accounts.</v>
      </c>
      <c r="C156" t="s">
        <v>236</v>
      </c>
      <c r="D156">
        <v>2</v>
      </c>
      <c r="E156" t="s">
        <v>8</v>
      </c>
      <c r="F156" t="s">
        <v>9</v>
      </c>
      <c r="G156" t="s">
        <v>389</v>
      </c>
      <c r="H156" t="s">
        <v>390</v>
      </c>
    </row>
    <row r="157" spans="1:8" x14ac:dyDescent="0.25">
      <c r="A157" t="s">
        <v>50</v>
      </c>
      <c r="B157" t="str">
        <f>VLOOKUP(A157,IDE_ConOps_4_3_Model_LVL3!C:H,6,FALSE)</f>
        <v>The IDE shall provide a 'Centralized Health Dashboard' to display real-time health status, performance metrics, and Key Performance Indicators (KPIs) of all platform components.</v>
      </c>
      <c r="C157" t="s">
        <v>236</v>
      </c>
      <c r="D157">
        <v>3</v>
      </c>
      <c r="E157" t="s">
        <v>8</v>
      </c>
      <c r="F157" t="s">
        <v>9</v>
      </c>
      <c r="G157" t="s">
        <v>392</v>
      </c>
      <c r="H157" t="s">
        <v>393</v>
      </c>
    </row>
    <row r="158" spans="1:8" x14ac:dyDescent="0.25">
      <c r="A158" t="s">
        <v>237</v>
      </c>
      <c r="B158" t="str">
        <f>VLOOKUP(A158,IDE_ConOps_4_3_Model_LVL3!C:H,6,FALSE)</f>
        <v>The IDE shall provide a Kubernetes (K8s) orchestrator as the foundational platform for all containerized services and applications.</v>
      </c>
      <c r="C158" t="s">
        <v>236</v>
      </c>
      <c r="D158">
        <v>4</v>
      </c>
      <c r="E158" t="s">
        <v>238</v>
      </c>
      <c r="F158" t="s">
        <v>9</v>
      </c>
      <c r="G158" t="s">
        <v>395</v>
      </c>
      <c r="H158" t="s">
        <v>396</v>
      </c>
    </row>
    <row r="159" spans="1:8" x14ac:dyDescent="0.25">
      <c r="A159" t="s">
        <v>104</v>
      </c>
      <c r="B159" t="str">
        <f>VLOOKUP(A159,IDE_ConOps_4_3_Model_LVL3!C:H,6,FALSE)</f>
        <v>The IDE shall provide a 'Centralized Logging and Monitoring' service as a consolidated pipeline for all performance metrics.</v>
      </c>
      <c r="C159" t="s">
        <v>236</v>
      </c>
      <c r="D159">
        <v>5</v>
      </c>
      <c r="E159" t="s">
        <v>12</v>
      </c>
      <c r="F159" t="s">
        <v>9</v>
      </c>
      <c r="G159" t="s">
        <v>398</v>
      </c>
      <c r="H159" t="s">
        <v>393</v>
      </c>
    </row>
    <row r="160" spans="1:8" x14ac:dyDescent="0.25">
      <c r="A160" t="s">
        <v>87</v>
      </c>
      <c r="B160" t="str">
        <f>VLOOKUP(A160,IDE_ConOps_4_3_Model_LVL3!C:H,6,FALSE)</f>
        <v>The IDE shall provide a 'Centralized Logging and Monitoring' service as a consolidated pipeline for all platform logs.</v>
      </c>
      <c r="C160" t="s">
        <v>236</v>
      </c>
      <c r="D160">
        <v>6</v>
      </c>
      <c r="E160" t="s">
        <v>12</v>
      </c>
      <c r="F160" t="s">
        <v>9</v>
      </c>
      <c r="G160" t="s">
        <v>400</v>
      </c>
      <c r="H160" t="s">
        <v>401</v>
      </c>
    </row>
    <row r="161" spans="1:8" x14ac:dyDescent="0.25">
      <c r="A161" t="s">
        <v>239</v>
      </c>
      <c r="B161" t="str">
        <f>VLOOKUP(A161,IDE_ConOps_4_3_Model_LVL3!C:H,6,FALSE)</f>
        <v>The IDE shall provide a mandated shared service for 'Centralized Secrets Management' to support the secure storage of platform and application credentials.</v>
      </c>
      <c r="C161" t="s">
        <v>236</v>
      </c>
      <c r="D161">
        <v>7</v>
      </c>
      <c r="E161" t="s">
        <v>63</v>
      </c>
      <c r="F161" t="s">
        <v>9</v>
      </c>
      <c r="G161" t="s">
        <v>403</v>
      </c>
      <c r="H161" t="s">
        <v>404</v>
      </c>
    </row>
    <row r="162" spans="1:8" x14ac:dyDescent="0.25">
      <c r="A162" t="s">
        <v>183</v>
      </c>
      <c r="B162" t="str">
        <f>VLOOKUP(A162,IDE_ConOps_4_3_Model_LVL3!C:H,6,FALSE)</f>
        <v>The 'Centralized Secrets Management' service shall encrypt secrets at rest and in transit using FIPS-approved algorithms.</v>
      </c>
      <c r="C162" t="s">
        <v>236</v>
      </c>
      <c r="D162">
        <v>8</v>
      </c>
      <c r="E162" t="s">
        <v>63</v>
      </c>
      <c r="F162" t="s">
        <v>9</v>
      </c>
      <c r="G162" t="s">
        <v>406</v>
      </c>
      <c r="H162" t="s">
        <v>996</v>
      </c>
    </row>
    <row r="163" spans="1:8" x14ac:dyDescent="0.25">
      <c r="A163" t="s">
        <v>240</v>
      </c>
      <c r="B163" t="str">
        <f>VLOOKUP(A163,IDE_ConOps_4_3_Model_LVL3!C:H,6,FALSE)</f>
        <v>The IDE shall provide a DoD DevSecOps compliant capability for Continuous Integration and Continuous Deployment (CI/CD).</v>
      </c>
      <c r="C163" t="s">
        <v>236</v>
      </c>
      <c r="D163">
        <v>9</v>
      </c>
      <c r="E163" t="s">
        <v>29</v>
      </c>
      <c r="F163" t="s">
        <v>9</v>
      </c>
      <c r="G163" t="s">
        <v>408</v>
      </c>
      <c r="H163" t="s">
        <v>409</v>
      </c>
    </row>
    <row r="164" spans="1:8" x14ac:dyDescent="0.25">
      <c r="A164" t="s">
        <v>241</v>
      </c>
      <c r="B164" t="str">
        <f>VLOOKUP(A164,IDE_ConOps_4_3_Model_LVL3!C:H,6,FALSE)</f>
        <v>The IDE shall provide a mandated shared service for 'Backup and Recovery' that performs automated, policy-based backups of the platform state and customer data.</v>
      </c>
      <c r="C164" t="s">
        <v>236</v>
      </c>
      <c r="D164">
        <v>10</v>
      </c>
      <c r="E164" t="s">
        <v>63</v>
      </c>
      <c r="F164" t="s">
        <v>9</v>
      </c>
      <c r="G164" t="s">
        <v>411</v>
      </c>
      <c r="H164" t="s">
        <v>412</v>
      </c>
    </row>
    <row r="165" spans="1:8" x14ac:dyDescent="0.25">
      <c r="A165" t="s">
        <v>241</v>
      </c>
      <c r="B165" t="str">
        <f>VLOOKUP(A165,IDE_ConOps_4_3_Model_LVL3!C:H,6,FALSE)</f>
        <v>The IDE shall provide a mandated shared service for 'Backup and Recovery' that performs automated, policy-based backups of the platform state and customer data.</v>
      </c>
      <c r="C165" t="s">
        <v>236</v>
      </c>
      <c r="D165">
        <v>11</v>
      </c>
      <c r="E165" t="s">
        <v>63</v>
      </c>
      <c r="F165" t="s">
        <v>9</v>
      </c>
      <c r="G165" t="s">
        <v>414</v>
      </c>
      <c r="H165" t="s">
        <v>415</v>
      </c>
    </row>
    <row r="166" spans="1:8" x14ac:dyDescent="0.25">
      <c r="A166" t="s">
        <v>242</v>
      </c>
      <c r="B166" t="str">
        <f>VLOOKUP(A166,IDE_ConOps_4_3_Model_LVL3!C:H,6,FALSE)</f>
        <v>The IDE shall provide a mandated shared 'Service Mesh' that provides service discovery.</v>
      </c>
      <c r="C166" t="s">
        <v>236</v>
      </c>
      <c r="D166">
        <v>12</v>
      </c>
      <c r="E166" t="s">
        <v>63</v>
      </c>
      <c r="F166" t="s">
        <v>9</v>
      </c>
      <c r="G166" t="s">
        <v>417</v>
      </c>
      <c r="H166" t="s">
        <v>418</v>
      </c>
    </row>
    <row r="167" spans="1:8" x14ac:dyDescent="0.25">
      <c r="A167" t="s">
        <v>242</v>
      </c>
      <c r="B167" t="str">
        <f>VLOOKUP(A167,IDE_ConOps_4_3_Model_LVL3!C:H,6,FALSE)</f>
        <v>The IDE shall provide a mandated shared 'Service Mesh' that provides service discovery.</v>
      </c>
      <c r="C167" t="s">
        <v>236</v>
      </c>
      <c r="D167">
        <v>13</v>
      </c>
      <c r="E167" t="s">
        <v>63</v>
      </c>
      <c r="F167" t="s">
        <v>9</v>
      </c>
      <c r="G167" t="s">
        <v>420</v>
      </c>
      <c r="H167" t="s">
        <v>996</v>
      </c>
    </row>
    <row r="168" spans="1:8" x14ac:dyDescent="0.25">
      <c r="A168" t="s">
        <v>243</v>
      </c>
      <c r="B168" t="str">
        <f>VLOOKUP(A168,IDE_ConOps_4_3_Model_LVL3!C:H,6,FALSE)</f>
        <v>The mandated shared service for 'Centralized Secrets Management' shall support the secure rotation of platform and application credentials.</v>
      </c>
      <c r="C168" t="s">
        <v>236</v>
      </c>
      <c r="D168">
        <v>14</v>
      </c>
      <c r="E168" t="s">
        <v>63</v>
      </c>
      <c r="F168" t="s">
        <v>9</v>
      </c>
      <c r="G168" t="s">
        <v>422</v>
      </c>
      <c r="H168" t="s">
        <v>423</v>
      </c>
    </row>
    <row r="169" spans="1:8" x14ac:dyDescent="0.25">
      <c r="A169" t="s">
        <v>57</v>
      </c>
      <c r="B169" t="str">
        <f>VLOOKUP(A169,IDE_ConOps_4_3_Model_LVL3!C:H,6,FALSE)</f>
        <v>The IDE shall provide a 'full IDE System Restore' capability to restore the platform from an automated backup, as defined in Scenario 5.4.3.</v>
      </c>
      <c r="C169" t="s">
        <v>236</v>
      </c>
      <c r="D169">
        <v>15</v>
      </c>
      <c r="E169" t="s">
        <v>59</v>
      </c>
      <c r="F169" t="s">
        <v>9</v>
      </c>
      <c r="G169" t="s">
        <v>425</v>
      </c>
      <c r="H169" t="s">
        <v>426</v>
      </c>
    </row>
    <row r="170" spans="1:8" x14ac:dyDescent="0.25">
      <c r="A170" t="s">
        <v>82</v>
      </c>
      <c r="B170" t="str">
        <f>VLOOKUP(A170,IDE_ConOps_4_3_Model_LVL3!C:H,6,FALSE)</f>
        <v>The IDE shall provide a 'Centralized Logging and Monitoring' service as a consolidated pipeline for all health metrics.</v>
      </c>
      <c r="C170" t="s">
        <v>236</v>
      </c>
      <c r="D170">
        <v>16</v>
      </c>
      <c r="E170" t="s">
        <v>12</v>
      </c>
      <c r="F170" t="s">
        <v>9</v>
      </c>
      <c r="G170" t="s">
        <v>428</v>
      </c>
      <c r="H170" t="s">
        <v>393</v>
      </c>
    </row>
    <row r="171" spans="1:8" x14ac:dyDescent="0.25">
      <c r="A171" t="s">
        <v>244</v>
      </c>
      <c r="B171" t="str">
        <f>VLOOKUP(A171,IDE_ConOps_4_3_Model_LVL3!C:H,6,FALSE)</f>
        <v>The 'site deployment package' shall include user and administrator documentation.</v>
      </c>
      <c r="C171" t="s">
        <v>236</v>
      </c>
      <c r="D171">
        <v>17</v>
      </c>
      <c r="E171" t="s">
        <v>245</v>
      </c>
      <c r="F171" t="s">
        <v>9</v>
      </c>
      <c r="G171" t="s">
        <v>430</v>
      </c>
      <c r="H171" t="s">
        <v>431</v>
      </c>
    </row>
    <row r="172" spans="1:8" x14ac:dyDescent="0.25">
      <c r="A172" t="s">
        <v>241</v>
      </c>
      <c r="B172" t="str">
        <f>VLOOKUP(A172,IDE_ConOps_4_3_Model_LVL3!C:H,6,FALSE)</f>
        <v>The IDE shall provide a mandated shared service for 'Backup and Recovery' that performs automated, policy-based backups of the platform state and customer data.</v>
      </c>
      <c r="C172" t="s">
        <v>236</v>
      </c>
      <c r="D172">
        <v>18</v>
      </c>
      <c r="E172" t="s">
        <v>63</v>
      </c>
      <c r="F172" t="s">
        <v>9</v>
      </c>
      <c r="G172" t="s">
        <v>433</v>
      </c>
      <c r="H172" t="s">
        <v>434</v>
      </c>
    </row>
    <row r="173" spans="1:8" x14ac:dyDescent="0.25">
      <c r="A173" t="s">
        <v>57</v>
      </c>
      <c r="B173" t="str">
        <f>VLOOKUP(A173,IDE_ConOps_4_3_Model_LVL3!C:H,6,FALSE)</f>
        <v>The IDE shall provide a 'full IDE System Restore' capability to restore the platform from an automated backup, as defined in Scenario 5.4.3.</v>
      </c>
      <c r="C173" t="s">
        <v>236</v>
      </c>
      <c r="D173">
        <v>19</v>
      </c>
      <c r="E173" t="s">
        <v>59</v>
      </c>
      <c r="F173" t="s">
        <v>9</v>
      </c>
      <c r="G173" t="s">
        <v>436</v>
      </c>
      <c r="H173" t="s">
        <v>412</v>
      </c>
    </row>
    <row r="174" spans="1:8" x14ac:dyDescent="0.25">
      <c r="A174" t="s">
        <v>5</v>
      </c>
      <c r="B174" t="str">
        <f>VLOOKUP(A174,IDE_ConOps_4_3_Model_LVL3!C:H,6,FALSE)</f>
        <v>The IDE shall provide a 'Consolidated Admin Interface' as a secure, web-based UI to provide a single pane of glass for L1/L2 administrative tasks.</v>
      </c>
      <c r="C174" t="s">
        <v>236</v>
      </c>
      <c r="D174">
        <v>20</v>
      </c>
      <c r="E174" t="s">
        <v>8</v>
      </c>
      <c r="F174" t="s">
        <v>9</v>
      </c>
      <c r="G174" t="s">
        <v>438</v>
      </c>
      <c r="H174" t="s">
        <v>412</v>
      </c>
    </row>
    <row r="175" spans="1:8" x14ac:dyDescent="0.25">
      <c r="A175" t="s">
        <v>246</v>
      </c>
      <c r="B175" t="str">
        <f>VLOOKUP(A175,IDE_ConOps_4_3_Model_LVL3!C:H,6,FALSE)</f>
        <v>The IDE shall provide a 'Centralized Logging and Monitoring' service as a consolidated pipeline for all application logs.</v>
      </c>
      <c r="C175" t="s">
        <v>236</v>
      </c>
      <c r="D175">
        <v>21</v>
      </c>
      <c r="E175" t="s">
        <v>12</v>
      </c>
      <c r="F175" t="s">
        <v>9</v>
      </c>
      <c r="G175" t="s">
        <v>440</v>
      </c>
      <c r="H175" t="s">
        <v>393</v>
      </c>
    </row>
    <row r="176" spans="1:8" x14ac:dyDescent="0.25">
      <c r="A176" t="s">
        <v>87</v>
      </c>
      <c r="B176" t="str">
        <f>VLOOKUP(A176,IDE_ConOps_4_3_Model_LVL3!C:H,6,FALSE)</f>
        <v>The IDE shall provide a 'Centralized Logging and Monitoring' service as a consolidated pipeline for all platform logs.</v>
      </c>
      <c r="C176" t="s">
        <v>236</v>
      </c>
      <c r="D176">
        <v>22</v>
      </c>
      <c r="E176" t="s">
        <v>12</v>
      </c>
      <c r="F176" t="s">
        <v>9</v>
      </c>
      <c r="G176" t="s">
        <v>442</v>
      </c>
      <c r="H176" t="s">
        <v>393</v>
      </c>
    </row>
    <row r="177" spans="1:8" x14ac:dyDescent="0.25">
      <c r="A177" t="s">
        <v>240</v>
      </c>
      <c r="B177" t="str">
        <f>VLOOKUP(A177,IDE_ConOps_4_3_Model_LVL3!C:H,6,FALSE)</f>
        <v>The IDE shall provide a DoD DevSecOps compliant capability for Continuous Integration and Continuous Deployment (CI/CD).</v>
      </c>
      <c r="C177" t="s">
        <v>236</v>
      </c>
      <c r="D177">
        <v>23</v>
      </c>
      <c r="E177" t="s">
        <v>29</v>
      </c>
      <c r="F177" t="s">
        <v>9</v>
      </c>
      <c r="G177" t="s">
        <v>444</v>
      </c>
      <c r="H177" t="s">
        <v>393</v>
      </c>
    </row>
    <row r="178" spans="1:8" x14ac:dyDescent="0.25">
      <c r="A178" t="s">
        <v>50</v>
      </c>
      <c r="B178" t="str">
        <f>VLOOKUP(A178,IDE_ConOps_4_3_Model_LVL3!C:H,6,FALSE)</f>
        <v>The IDE shall provide a 'Centralized Health Dashboard' to display real-time health status, performance metrics, and Key Performance Indicators (KPIs) of all platform components.</v>
      </c>
      <c r="C178" t="s">
        <v>236</v>
      </c>
      <c r="D178">
        <v>24</v>
      </c>
      <c r="E178" t="s">
        <v>8</v>
      </c>
      <c r="F178" t="s">
        <v>9</v>
      </c>
      <c r="G178" t="s">
        <v>446</v>
      </c>
      <c r="H178" t="s">
        <v>447</v>
      </c>
    </row>
    <row r="179" spans="1:8" x14ac:dyDescent="0.25">
      <c r="A179" t="s">
        <v>50</v>
      </c>
      <c r="B179" t="str">
        <f>VLOOKUP(A179,IDE_ConOps_4_3_Model_LVL3!C:H,6,FALSE)</f>
        <v>The IDE shall provide a 'Centralized Health Dashboard' to display real-time health status, performance metrics, and Key Performance Indicators (KPIs) of all platform components.</v>
      </c>
      <c r="C179" t="s">
        <v>236</v>
      </c>
      <c r="D179">
        <v>25</v>
      </c>
      <c r="E179" t="s">
        <v>8</v>
      </c>
      <c r="F179" t="s">
        <v>9</v>
      </c>
      <c r="G179" t="s">
        <v>449</v>
      </c>
      <c r="H179" t="s">
        <v>409</v>
      </c>
    </row>
    <row r="180" spans="1:8" x14ac:dyDescent="0.25">
      <c r="A180" t="s">
        <v>152</v>
      </c>
      <c r="B180" t="str">
        <f>VLOOKUP(A180,IDE_ConOps_4_3_Model_LVL3!C:H,6,FALSE)</f>
        <v>The IDE shall provide a DoD DevSecOps compliant capability for Cyber Security Compliance (DAST) and container scanning.</v>
      </c>
      <c r="C180" t="s">
        <v>236</v>
      </c>
      <c r="D180">
        <v>26</v>
      </c>
      <c r="E180" t="s">
        <v>29</v>
      </c>
      <c r="F180" t="s">
        <v>9</v>
      </c>
      <c r="G180" t="s">
        <v>451</v>
      </c>
      <c r="H180" t="s">
        <v>409</v>
      </c>
    </row>
    <row r="181" spans="1:8" x14ac:dyDescent="0.25">
      <c r="A181" t="s">
        <v>204</v>
      </c>
      <c r="B181" t="str">
        <f>VLOOKUP(A181,IDE_ConOps_4_3_Model_LVL3!C:H,6,FALSE)</f>
        <v>The IDE 'Secure Platform' and 'IDE Capability Layer' components shall be configured to comply with NIST SP 800-53 (Rev 5).</v>
      </c>
      <c r="C181" t="s">
        <v>236</v>
      </c>
      <c r="D181">
        <v>27</v>
      </c>
      <c r="E181" t="s">
        <v>33</v>
      </c>
      <c r="F181" t="s">
        <v>9</v>
      </c>
      <c r="G181" t="s">
        <v>453</v>
      </c>
      <c r="H181" t="s">
        <v>454</v>
      </c>
    </row>
    <row r="182" spans="1:8" x14ac:dyDescent="0.25">
      <c r="A182" t="s">
        <v>247</v>
      </c>
      <c r="B182" t="str">
        <f>VLOOKUP(A182,IDE_ConOps_4_3_Model_LVL3!C:H,6,FALSE)</f>
        <v>The IDE shall provide a mandated shared service for 'In-Cluster VM Management' to orchestrate non-containerized workloads as virtual machines within the cluster.</v>
      </c>
      <c r="C182" t="s">
        <v>236</v>
      </c>
      <c r="D182">
        <v>28</v>
      </c>
      <c r="E182" t="s">
        <v>63</v>
      </c>
      <c r="F182" t="s">
        <v>9</v>
      </c>
      <c r="G182" t="s">
        <v>456</v>
      </c>
      <c r="H182" t="s">
        <v>454</v>
      </c>
    </row>
    <row r="183" spans="1:8" x14ac:dyDescent="0.25">
      <c r="A183" t="s">
        <v>247</v>
      </c>
      <c r="B183" t="str">
        <f>VLOOKUP(A183,IDE_ConOps_4_3_Model_LVL3!C:H,6,FALSE)</f>
        <v>The IDE shall provide a mandated shared service for 'In-Cluster VM Management' to orchestrate non-containerized workloads as virtual machines within the cluster.</v>
      </c>
      <c r="C183" t="s">
        <v>236</v>
      </c>
      <c r="D183">
        <v>29</v>
      </c>
      <c r="E183" t="s">
        <v>63</v>
      </c>
      <c r="F183" t="s">
        <v>9</v>
      </c>
      <c r="G183" t="s">
        <v>458</v>
      </c>
      <c r="H183" t="s">
        <v>996</v>
      </c>
    </row>
    <row r="184" spans="1:8" x14ac:dyDescent="0.25">
      <c r="A184" t="s">
        <v>10</v>
      </c>
      <c r="B184" t="str">
        <f>VLOOKUP(A184,IDE_ConOps_4_3_Model_LVL3!C:H,6,FALSE)</f>
        <v>The IDE shall provide a 'Centralized Logging and Monitoring' service as a consolidated pipeline for all security audit events.</v>
      </c>
      <c r="C184" t="s">
        <v>236</v>
      </c>
      <c r="D184">
        <v>30</v>
      </c>
      <c r="E184" t="s">
        <v>12</v>
      </c>
      <c r="F184" t="s">
        <v>9</v>
      </c>
      <c r="G184" t="s">
        <v>460</v>
      </c>
      <c r="H184" t="s">
        <v>996</v>
      </c>
    </row>
    <row r="185" spans="1:8" x14ac:dyDescent="0.25">
      <c r="A185" t="s">
        <v>10</v>
      </c>
      <c r="B185" t="str">
        <f>VLOOKUP(A185,IDE_ConOps_4_3_Model_LVL3!C:H,6,FALSE)</f>
        <v>The IDE shall provide a 'Centralized Logging and Monitoring' service as a consolidated pipeline for all security audit events.</v>
      </c>
      <c r="C185" t="s">
        <v>236</v>
      </c>
      <c r="D185">
        <v>31</v>
      </c>
      <c r="E185" t="s">
        <v>12</v>
      </c>
      <c r="F185" t="s">
        <v>9</v>
      </c>
      <c r="G185" t="s">
        <v>462</v>
      </c>
      <c r="H185" t="s">
        <v>996</v>
      </c>
    </row>
    <row r="186" spans="1:8" x14ac:dyDescent="0.25">
      <c r="A186" t="s">
        <v>50</v>
      </c>
      <c r="B186" t="str">
        <f>VLOOKUP(A186,IDE_ConOps_4_3_Model_LVL3!C:H,6,FALSE)</f>
        <v>The IDE shall provide a 'Centralized Health Dashboard' to display real-time health status, performance metrics, and Key Performance Indicators (KPIs) of all platform components.</v>
      </c>
      <c r="C186" t="s">
        <v>236</v>
      </c>
      <c r="D186">
        <v>32</v>
      </c>
      <c r="E186" t="s">
        <v>8</v>
      </c>
      <c r="F186" t="s">
        <v>9</v>
      </c>
      <c r="G186" t="s">
        <v>464</v>
      </c>
      <c r="H186" t="s">
        <v>465</v>
      </c>
    </row>
    <row r="187" spans="1:8" x14ac:dyDescent="0.25">
      <c r="A187" t="s">
        <v>248</v>
      </c>
      <c r="B187" t="str">
        <f>VLOOKUP(A187,IDE_ConOps_4_3_Model_LVL3!C:H,6,FALSE)</f>
        <v>The IDE shall provide tools (e.g., Health Dashboard) to detect and report when an IDE Instance has been modified outside of 'IDE provided admin tools', which moves the instance to an 'unsupported' state.</v>
      </c>
      <c r="C187" t="s">
        <v>236</v>
      </c>
      <c r="D187">
        <v>33</v>
      </c>
      <c r="E187" t="s">
        <v>249</v>
      </c>
      <c r="F187" t="s">
        <v>9</v>
      </c>
      <c r="G187" t="s">
        <v>467</v>
      </c>
      <c r="H187" t="s">
        <v>468</v>
      </c>
    </row>
    <row r="188" spans="1:8" x14ac:dyDescent="0.25">
      <c r="A188" t="s">
        <v>248</v>
      </c>
      <c r="B188" t="str">
        <f>VLOOKUP(A188,IDE_ConOps_4_3_Model_LVL3!C:H,6,FALSE)</f>
        <v>The IDE shall provide tools (e.g., Health Dashboard) to detect and report when an IDE Instance has been modified outside of 'IDE provided admin tools', which moves the instance to an 'unsupported' state.</v>
      </c>
      <c r="C188" t="s">
        <v>236</v>
      </c>
      <c r="D188">
        <v>34</v>
      </c>
      <c r="E188" t="s">
        <v>249</v>
      </c>
      <c r="F188" t="s">
        <v>9</v>
      </c>
      <c r="G188" t="s">
        <v>470</v>
      </c>
      <c r="H188" t="s">
        <v>996</v>
      </c>
    </row>
    <row r="189" spans="1:8" x14ac:dyDescent="0.25">
      <c r="A189" t="s">
        <v>111</v>
      </c>
      <c r="B189" t="str">
        <f>VLOOKUP(A189,IDE_ConOps_4_3_Model_LVL3!C:H,6,FALSE)</f>
        <v>The IDE shall provide a DoD DevSecOps compliant capability for software version control.</v>
      </c>
      <c r="C189" t="s">
        <v>236</v>
      </c>
      <c r="D189">
        <v>35</v>
      </c>
      <c r="E189" t="s">
        <v>29</v>
      </c>
      <c r="F189" t="s">
        <v>9</v>
      </c>
      <c r="G189" t="s">
        <v>472</v>
      </c>
      <c r="H189" t="s">
        <v>473</v>
      </c>
    </row>
    <row r="190" spans="1:8" x14ac:dyDescent="0.25">
      <c r="A190" t="s">
        <v>43</v>
      </c>
      <c r="B190" t="str">
        <f>VLOOKUP(A190,IDE_ConOps_4_3_Model_LVL3!C:H,6,FALSE)</f>
        <v>The IDE Factory shall provide a web-based 'Configuration Portal' for customers to configure and procure new IDE Instances and updates.</v>
      </c>
      <c r="C190" t="s">
        <v>236</v>
      </c>
      <c r="D190">
        <v>36</v>
      </c>
      <c r="E190" t="s">
        <v>40</v>
      </c>
      <c r="F190" t="s">
        <v>9</v>
      </c>
      <c r="G190" t="s">
        <v>475</v>
      </c>
      <c r="H190" t="s">
        <v>454</v>
      </c>
    </row>
    <row r="191" spans="1:8" x14ac:dyDescent="0.25">
      <c r="A191" t="s">
        <v>180</v>
      </c>
      <c r="B191" t="str">
        <f>VLOOKUP(A191,IDE_ConOps_4_3_Model_LVL3!C:H,6,FALSE)</f>
        <v>The IDE platform shall be environment-agnostic, supporting deployment in on-premises, private cloud, public cloud, and fully air-gapped networks.</v>
      </c>
      <c r="C191" t="s">
        <v>236</v>
      </c>
      <c r="D191">
        <v>37</v>
      </c>
      <c r="E191" t="s">
        <v>182</v>
      </c>
      <c r="F191" t="s">
        <v>9</v>
      </c>
      <c r="G191" t="s">
        <v>477</v>
      </c>
      <c r="H191" t="s">
        <v>454</v>
      </c>
    </row>
    <row r="192" spans="1:8" x14ac:dyDescent="0.25">
      <c r="A192" t="s">
        <v>240</v>
      </c>
      <c r="B192" t="str">
        <f>VLOOKUP(A192,IDE_ConOps_4_3_Model_LVL3!C:H,6,FALSE)</f>
        <v>The IDE shall provide a DoD DevSecOps compliant capability for Continuous Integration and Continuous Deployment (CI/CD).</v>
      </c>
      <c r="C192" t="s">
        <v>236</v>
      </c>
      <c r="D192">
        <v>38</v>
      </c>
      <c r="E192" t="s">
        <v>29</v>
      </c>
      <c r="F192" t="s">
        <v>9</v>
      </c>
      <c r="G192" t="s">
        <v>479</v>
      </c>
      <c r="H192" t="s">
        <v>480</v>
      </c>
    </row>
    <row r="193" spans="1:8" x14ac:dyDescent="0.25">
      <c r="A193" t="s">
        <v>50</v>
      </c>
      <c r="B193" t="str">
        <f>VLOOKUP(A193,IDE_ConOps_4_3_Model_LVL3!C:H,6,FALSE)</f>
        <v>The IDE shall provide a 'Centralized Health Dashboard' to display real-time health status, performance metrics, and Key Performance Indicators (KPIs) of all platform components.</v>
      </c>
      <c r="C193" t="s">
        <v>236</v>
      </c>
      <c r="D193">
        <v>39</v>
      </c>
      <c r="E193" t="s">
        <v>8</v>
      </c>
      <c r="F193" t="s">
        <v>9</v>
      </c>
      <c r="G193" t="s">
        <v>482</v>
      </c>
      <c r="H193" t="s">
        <v>483</v>
      </c>
    </row>
    <row r="194" spans="1:8" x14ac:dyDescent="0.25">
      <c r="A194" t="s">
        <v>34</v>
      </c>
      <c r="B194" t="str">
        <f>VLOOKUP(A194,IDE_ConOps_4_3_Model_LVL3!C:H,6,FALSE)</f>
        <v>The IDE shall provide a 'Centralized Health Dashboard' to display real-time performance status of all platform components.</v>
      </c>
      <c r="C194" t="s">
        <v>236</v>
      </c>
      <c r="D194">
        <v>40</v>
      </c>
      <c r="E194" t="s">
        <v>8</v>
      </c>
      <c r="F194" t="s">
        <v>9</v>
      </c>
      <c r="G194" t="s">
        <v>485</v>
      </c>
      <c r="H194" t="s">
        <v>483</v>
      </c>
    </row>
    <row r="195" spans="1:8" x14ac:dyDescent="0.25">
      <c r="A195" t="s">
        <v>31</v>
      </c>
      <c r="B195" t="str">
        <f>VLOOKUP(A195,IDE_ConOps_4_3_Model_LVL3!C:H,6,FALSE)</f>
        <v>The IDE 'Secure Platform' and 'IDE Capability Layer' components shall be hardened to comply with NIST SP 800-53 (Rev 5).</v>
      </c>
      <c r="C195" t="s">
        <v>236</v>
      </c>
      <c r="D195">
        <v>41</v>
      </c>
      <c r="E195" t="s">
        <v>33</v>
      </c>
      <c r="F195" t="s">
        <v>9</v>
      </c>
      <c r="G195" t="s">
        <v>487</v>
      </c>
      <c r="H195" t="s">
        <v>404</v>
      </c>
    </row>
    <row r="196" spans="1:8" x14ac:dyDescent="0.25">
      <c r="A196" t="s">
        <v>111</v>
      </c>
      <c r="B196" t="str">
        <f>VLOOKUP(A196,IDE_ConOps_4_3_Model_LVL3!C:H,6,FALSE)</f>
        <v>The IDE shall provide a DoD DevSecOps compliant capability for software version control.</v>
      </c>
      <c r="C196" t="s">
        <v>236</v>
      </c>
      <c r="D196">
        <v>42</v>
      </c>
      <c r="E196" t="s">
        <v>29</v>
      </c>
      <c r="F196" t="s">
        <v>9</v>
      </c>
      <c r="G196" t="s">
        <v>489</v>
      </c>
      <c r="H196" t="s">
        <v>473</v>
      </c>
    </row>
    <row r="197" spans="1:8" x14ac:dyDescent="0.25">
      <c r="A197" t="s">
        <v>239</v>
      </c>
      <c r="B197" t="str">
        <f>VLOOKUP(A197,IDE_ConOps_4_3_Model_LVL3!C:H,6,FALSE)</f>
        <v>The IDE shall provide a mandated shared service for 'Centralized Secrets Management' to support the secure storage of platform and application credentials.</v>
      </c>
      <c r="C197" t="s">
        <v>236</v>
      </c>
      <c r="D197">
        <v>43</v>
      </c>
      <c r="E197" t="s">
        <v>63</v>
      </c>
      <c r="F197" t="s">
        <v>9</v>
      </c>
      <c r="G197" t="s">
        <v>491</v>
      </c>
      <c r="H197" t="s">
        <v>404</v>
      </c>
    </row>
    <row r="198" spans="1:8" x14ac:dyDescent="0.25">
      <c r="A198" t="s">
        <v>50</v>
      </c>
      <c r="B198" t="str">
        <f>VLOOKUP(A198,IDE_ConOps_4_3_Model_LVL3!C:H,6,FALSE)</f>
        <v>The IDE shall provide a 'Centralized Health Dashboard' to display real-time health status, performance metrics, and Key Performance Indicators (KPIs) of all platform components.</v>
      </c>
      <c r="C198" t="s">
        <v>236</v>
      </c>
      <c r="D198">
        <v>44</v>
      </c>
      <c r="E198" t="s">
        <v>8</v>
      </c>
      <c r="F198" t="s">
        <v>9</v>
      </c>
      <c r="G198" t="s">
        <v>493</v>
      </c>
      <c r="H198" t="s">
        <v>483</v>
      </c>
    </row>
    <row r="199" spans="1:8" x14ac:dyDescent="0.25">
      <c r="A199" t="s">
        <v>250</v>
      </c>
      <c r="B199" t="str">
        <f>VLOOKUP(A199,IDE_ConOps_4_3_Model_LVL3!C:H,6,FALSE)</f>
        <v>The mandated shared 'Service Mesh' shall provide policy-driven traffic management.</v>
      </c>
      <c r="C199" t="s">
        <v>236</v>
      </c>
      <c r="D199">
        <v>45</v>
      </c>
      <c r="E199" t="s">
        <v>63</v>
      </c>
      <c r="F199" t="s">
        <v>9</v>
      </c>
      <c r="G199" t="s">
        <v>495</v>
      </c>
      <c r="H199" t="s">
        <v>496</v>
      </c>
    </row>
    <row r="200" spans="1:8" x14ac:dyDescent="0.25">
      <c r="A200" t="s">
        <v>57</v>
      </c>
      <c r="B200" t="str">
        <f>VLOOKUP(A200,IDE_ConOps_4_3_Model_LVL3!C:H,6,FALSE)</f>
        <v>The IDE shall provide a 'full IDE System Restore' capability to restore the platform from an automated backup, as defined in Scenario 5.4.3.</v>
      </c>
      <c r="C200" t="s">
        <v>236</v>
      </c>
      <c r="D200">
        <v>46</v>
      </c>
      <c r="E200" t="s">
        <v>59</v>
      </c>
      <c r="F200" t="s">
        <v>18</v>
      </c>
      <c r="G200" t="s">
        <v>498</v>
      </c>
      <c r="H200" t="s">
        <v>426</v>
      </c>
    </row>
    <row r="201" spans="1:8" x14ac:dyDescent="0.25">
      <c r="A201" t="s">
        <v>47</v>
      </c>
      <c r="B201" t="str">
        <f>VLOOKUP(A201,IDE_ConOps_4_3_Model_LVL3!C:H,6,FALSE)</f>
        <v>The IDE shall provide a mandated shared service for Centralized Authentication and Authorization (SSO) that functions as an identity broker, connecting to a customer-provided Identity Provider (IdP).</v>
      </c>
      <c r="C201" t="s">
        <v>236</v>
      </c>
      <c r="D201">
        <v>47</v>
      </c>
      <c r="E201" t="s">
        <v>49</v>
      </c>
      <c r="F201" t="s">
        <v>9</v>
      </c>
      <c r="G201" t="s">
        <v>500</v>
      </c>
      <c r="H201" t="s">
        <v>501</v>
      </c>
    </row>
    <row r="202" spans="1:8" x14ac:dyDescent="0.25">
      <c r="A202" t="s">
        <v>237</v>
      </c>
      <c r="B202" t="str">
        <f>VLOOKUP(A202,IDE_ConOps_4_3_Model_LVL3!C:H,6,FALSE)</f>
        <v>The IDE shall provide a Kubernetes (K8s) orchestrator as the foundational platform for all containerized services and applications.</v>
      </c>
      <c r="C202" t="s">
        <v>236</v>
      </c>
      <c r="D202">
        <v>48</v>
      </c>
      <c r="E202" t="s">
        <v>238</v>
      </c>
      <c r="F202" t="s">
        <v>9</v>
      </c>
      <c r="G202" t="s">
        <v>503</v>
      </c>
      <c r="H202" t="s">
        <v>504</v>
      </c>
    </row>
    <row r="203" spans="1:8" x14ac:dyDescent="0.25">
      <c r="A203" t="s">
        <v>177</v>
      </c>
      <c r="B203" t="str">
        <f>VLOOKUP(A203,IDE_ConOps_4_3_Model_LVL3!C:H,6,FALSE)</f>
        <v>The IDE shall include a formal, version-controlled Interface Control Document (ICD) as a core product deliverable that defines the technical and security 'contract' for integrating customer applications.</v>
      </c>
      <c r="C203" t="s">
        <v>236</v>
      </c>
      <c r="D203">
        <v>49</v>
      </c>
      <c r="E203" t="s">
        <v>102</v>
      </c>
      <c r="F203" t="s">
        <v>9</v>
      </c>
      <c r="G203" t="s">
        <v>506</v>
      </c>
      <c r="H203" t="s">
        <v>507</v>
      </c>
    </row>
    <row r="204" spans="1:8" x14ac:dyDescent="0.25">
      <c r="A204" t="s">
        <v>251</v>
      </c>
      <c r="B204" t="str">
        <f>VLOOKUP(A204,IDE_ConOps_4_3_Model_LVL3!C:H,6,FALSE)</f>
        <v>The IDE 'Secure Platform' and 'IDE Capability Layer' components shall be hardened to comply with NIST SP 800-171 controls.</v>
      </c>
      <c r="C204" t="s">
        <v>236</v>
      </c>
      <c r="D204">
        <v>50</v>
      </c>
      <c r="E204" t="s">
        <v>33</v>
      </c>
      <c r="F204" t="s">
        <v>9</v>
      </c>
      <c r="G204" t="s">
        <v>509</v>
      </c>
      <c r="H204" t="s">
        <v>404</v>
      </c>
    </row>
    <row r="205" spans="1:8" x14ac:dyDescent="0.25">
      <c r="A205" t="s">
        <v>252</v>
      </c>
      <c r="B205" t="str">
        <f>VLOOKUP(A205,IDE_ConOps_4_3_Model_LVL3!C:H,6,FALSE)</f>
        <v>The IDE shall provide a DoD DevSecOps compliant capability for artifact binary control.</v>
      </c>
      <c r="C205" t="s">
        <v>236</v>
      </c>
      <c r="D205">
        <v>51</v>
      </c>
      <c r="E205" t="s">
        <v>29</v>
      </c>
      <c r="F205" t="s">
        <v>9</v>
      </c>
      <c r="G205" t="s">
        <v>511</v>
      </c>
      <c r="H205" t="s">
        <v>512</v>
      </c>
    </row>
    <row r="206" spans="1:8" x14ac:dyDescent="0.25">
      <c r="A206" t="s">
        <v>253</v>
      </c>
      <c r="B206" t="str">
        <f>VLOOKUP(A206,IDE_ConOps_4_3_Model_LVL3!C:H,6,FALSE)</f>
        <v>The 'site deployment package' shall be a comprehensive, self-contained offline package suitable for air-gapped environment deployment.</v>
      </c>
      <c r="C206" t="s">
        <v>236</v>
      </c>
      <c r="D206">
        <v>52</v>
      </c>
      <c r="E206" t="s">
        <v>254</v>
      </c>
      <c r="F206" t="s">
        <v>9</v>
      </c>
      <c r="G206" t="s">
        <v>514</v>
      </c>
      <c r="H206" t="s">
        <v>454</v>
      </c>
    </row>
    <row r="207" spans="1:8" x14ac:dyDescent="0.25">
      <c r="A207" t="s">
        <v>43</v>
      </c>
      <c r="B207" t="str">
        <f>VLOOKUP(A207,IDE_ConOps_4_3_Model_LVL3!C:H,6,FALSE)</f>
        <v>The IDE Factory shall provide a web-based 'Configuration Portal' for customers to configure and procure new IDE Instances and updates.</v>
      </c>
      <c r="C207" t="s">
        <v>236</v>
      </c>
      <c r="D207">
        <v>53</v>
      </c>
      <c r="E207" t="s">
        <v>40</v>
      </c>
      <c r="F207" t="s">
        <v>9</v>
      </c>
      <c r="G207" t="s">
        <v>516</v>
      </c>
      <c r="H207" t="s">
        <v>454</v>
      </c>
    </row>
    <row r="208" spans="1:8" x14ac:dyDescent="0.25">
      <c r="A208" t="s">
        <v>255</v>
      </c>
      <c r="B208" t="str">
        <f>VLOOKUP(A208,IDE_ConOps_4_3_Model_LVL3!C:H,6,FALSE)</f>
        <v>The IDE shall complete the 'Day 0 Provisioning' scenario (Scenario 5.1.1), from execution of the bootstrap command to operational readiness, in less than four (4) hours.</v>
      </c>
      <c r="C208" t="s">
        <v>236</v>
      </c>
      <c r="D208">
        <v>54</v>
      </c>
      <c r="E208" t="s">
        <v>256</v>
      </c>
      <c r="F208" t="s">
        <v>9</v>
      </c>
      <c r="G208" t="s">
        <v>518</v>
      </c>
      <c r="H208" t="s">
        <v>996</v>
      </c>
    </row>
    <row r="209" spans="1:8" x14ac:dyDescent="0.25">
      <c r="A209" t="s">
        <v>257</v>
      </c>
      <c r="B209" t="str">
        <f>VLOOKUP(A209,IDE_ConOps_4_3_Model_LVL3!C:H,6,FALSE)</f>
        <v>The IDE installation process shall provision a new, dedicated K8s cluster and shall not deploy into a pre-existing, non-IDE K8s cluster.</v>
      </c>
      <c r="C209" t="s">
        <v>236</v>
      </c>
      <c r="D209">
        <v>55</v>
      </c>
      <c r="E209" t="s">
        <v>238</v>
      </c>
      <c r="F209" t="s">
        <v>9</v>
      </c>
      <c r="G209" t="s">
        <v>520</v>
      </c>
      <c r="H209" t="s">
        <v>521</v>
      </c>
    </row>
    <row r="210" spans="1:8" x14ac:dyDescent="0.25">
      <c r="A210" t="s">
        <v>10</v>
      </c>
      <c r="B210" t="str">
        <f>VLOOKUP(A210,IDE_ConOps_4_3_Model_LVL3!C:H,6,FALSE)</f>
        <v>The IDE shall provide a 'Centralized Logging and Monitoring' service as a consolidated pipeline for all security audit events.</v>
      </c>
      <c r="C210" t="s">
        <v>236</v>
      </c>
      <c r="D210">
        <v>56</v>
      </c>
      <c r="E210" t="s">
        <v>12</v>
      </c>
      <c r="F210" t="s">
        <v>9</v>
      </c>
      <c r="G210" t="s">
        <v>523</v>
      </c>
      <c r="H210" t="s">
        <v>393</v>
      </c>
    </row>
    <row r="211" spans="1:8" x14ac:dyDescent="0.25">
      <c r="A211" t="s">
        <v>253</v>
      </c>
      <c r="B211" t="str">
        <f>VLOOKUP(A211,IDE_ConOps_4_3_Model_LVL3!C:H,6,FALSE)</f>
        <v>The 'site deployment package' shall be a comprehensive, self-contained offline package suitable for air-gapped environment deployment.</v>
      </c>
      <c r="C211" t="s">
        <v>236</v>
      </c>
      <c r="D211">
        <v>57</v>
      </c>
      <c r="E211" t="s">
        <v>254</v>
      </c>
      <c r="F211" t="s">
        <v>9</v>
      </c>
      <c r="G211" t="s">
        <v>525</v>
      </c>
      <c r="H211" t="s">
        <v>526</v>
      </c>
    </row>
    <row r="212" spans="1:8" x14ac:dyDescent="0.25">
      <c r="A212" t="s">
        <v>258</v>
      </c>
      <c r="B212" t="str">
        <f>VLOOKUP(A212,IDE_ConOps_4_3_Model_LVL3!C:H,6,FALSE)</f>
        <v>The 'site deployment package' shall include the post-installation test scripts.</v>
      </c>
      <c r="C212" t="s">
        <v>236</v>
      </c>
      <c r="D212">
        <v>58</v>
      </c>
      <c r="E212" t="s">
        <v>245</v>
      </c>
      <c r="F212" t="s">
        <v>9</v>
      </c>
      <c r="G212" t="s">
        <v>528</v>
      </c>
      <c r="H212" t="s">
        <v>529</v>
      </c>
    </row>
    <row r="213" spans="1:8" x14ac:dyDescent="0.25">
      <c r="A213" t="s">
        <v>87</v>
      </c>
      <c r="B213" t="str">
        <f>VLOOKUP(A213,IDE_ConOps_4_3_Model_LVL3!C:H,6,FALSE)</f>
        <v>The IDE shall provide a 'Centralized Logging and Monitoring' service as a consolidated pipeline for all platform logs.</v>
      </c>
      <c r="C213" t="s">
        <v>236</v>
      </c>
      <c r="D213">
        <v>59</v>
      </c>
      <c r="E213" t="s">
        <v>12</v>
      </c>
      <c r="F213" t="s">
        <v>9</v>
      </c>
      <c r="G213" t="s">
        <v>531</v>
      </c>
      <c r="H213" t="s">
        <v>532</v>
      </c>
    </row>
    <row r="214" spans="1:8" x14ac:dyDescent="0.25">
      <c r="A214" t="s">
        <v>240</v>
      </c>
      <c r="B214" t="str">
        <f>VLOOKUP(A214,IDE_ConOps_4_3_Model_LVL3!C:H,6,FALSE)</f>
        <v>The IDE shall provide a DoD DevSecOps compliant capability for Continuous Integration and Continuous Deployment (CI/CD).</v>
      </c>
      <c r="C214" t="s">
        <v>236</v>
      </c>
      <c r="D214">
        <v>60</v>
      </c>
      <c r="E214" t="s">
        <v>29</v>
      </c>
      <c r="F214" t="s">
        <v>9</v>
      </c>
      <c r="G214" t="s">
        <v>534</v>
      </c>
      <c r="H214" t="s">
        <v>535</v>
      </c>
    </row>
    <row r="215" spans="1:8" x14ac:dyDescent="0.25">
      <c r="A215" t="s">
        <v>237</v>
      </c>
      <c r="B215" t="str">
        <f>VLOOKUP(A215,IDE_ConOps_4_3_Model_LVL3!C:H,6,FALSE)</f>
        <v>The IDE shall provide a Kubernetes (K8s) orchestrator as the foundational platform for all containerized services and applications.</v>
      </c>
      <c r="C215" t="s">
        <v>236</v>
      </c>
      <c r="D215">
        <v>61</v>
      </c>
      <c r="E215" t="s">
        <v>238</v>
      </c>
      <c r="F215" t="s">
        <v>9</v>
      </c>
      <c r="G215" t="s">
        <v>537</v>
      </c>
      <c r="H215" t="s">
        <v>538</v>
      </c>
    </row>
    <row r="216" spans="1:8" x14ac:dyDescent="0.25">
      <c r="A216" t="s">
        <v>237</v>
      </c>
      <c r="B216" t="str">
        <f>VLOOKUP(A216,IDE_ConOps_4_3_Model_LVL3!C:H,6,FALSE)</f>
        <v>The IDE shall provide a Kubernetes (K8s) orchestrator as the foundational platform for all containerized services and applications.</v>
      </c>
      <c r="C216" t="s">
        <v>236</v>
      </c>
      <c r="D216">
        <v>62</v>
      </c>
      <c r="E216" t="s">
        <v>238</v>
      </c>
      <c r="F216" t="s">
        <v>9</v>
      </c>
      <c r="G216" t="s">
        <v>540</v>
      </c>
      <c r="H216" t="s">
        <v>541</v>
      </c>
    </row>
    <row r="217" spans="1:8" x14ac:dyDescent="0.25">
      <c r="A217" t="s">
        <v>34</v>
      </c>
      <c r="B217" t="str">
        <f>VLOOKUP(A217,IDE_ConOps_4_3_Model_LVL3!C:H,6,FALSE)</f>
        <v>The IDE shall provide a 'Centralized Health Dashboard' to display real-time performance status of all platform components.</v>
      </c>
      <c r="C217" t="s">
        <v>236</v>
      </c>
      <c r="D217">
        <v>63</v>
      </c>
      <c r="E217" t="s">
        <v>8</v>
      </c>
      <c r="F217" t="s">
        <v>9</v>
      </c>
      <c r="G217" t="s">
        <v>543</v>
      </c>
      <c r="H217" t="s">
        <v>496</v>
      </c>
    </row>
    <row r="218" spans="1:8" x14ac:dyDescent="0.25">
      <c r="A218" t="s">
        <v>87</v>
      </c>
      <c r="B218" t="str">
        <f>VLOOKUP(A218,IDE_ConOps_4_3_Model_LVL3!C:H,6,FALSE)</f>
        <v>The IDE shall provide a 'Centralized Logging and Monitoring' service as a consolidated pipeline for all platform logs.</v>
      </c>
      <c r="C218" t="s">
        <v>236</v>
      </c>
      <c r="D218">
        <v>64</v>
      </c>
      <c r="E218" t="s">
        <v>12</v>
      </c>
      <c r="F218" t="s">
        <v>9</v>
      </c>
      <c r="G218" t="s">
        <v>545</v>
      </c>
      <c r="H218" t="s">
        <v>546</v>
      </c>
    </row>
    <row r="219" spans="1:8" x14ac:dyDescent="0.25">
      <c r="A219" t="s">
        <v>31</v>
      </c>
      <c r="B219" t="str">
        <f>VLOOKUP(A219,IDE_ConOps_4_3_Model_LVL3!C:H,6,FALSE)</f>
        <v>The IDE 'Secure Platform' and 'IDE Capability Layer' components shall be hardened to comply with NIST SP 800-53 (Rev 5).</v>
      </c>
      <c r="C219" t="s">
        <v>236</v>
      </c>
      <c r="D219">
        <v>65</v>
      </c>
      <c r="E219" t="s">
        <v>33</v>
      </c>
      <c r="F219" t="s">
        <v>9</v>
      </c>
      <c r="G219" t="s">
        <v>548</v>
      </c>
      <c r="H219" t="s">
        <v>996</v>
      </c>
    </row>
    <row r="220" spans="1:8" x14ac:dyDescent="0.25">
      <c r="A220" t="s">
        <v>87</v>
      </c>
      <c r="B220" t="str">
        <f>VLOOKUP(A220,IDE_ConOps_4_3_Model_LVL3!C:H,6,FALSE)</f>
        <v>The IDE shall provide a 'Centralized Logging and Monitoring' service as a consolidated pipeline for all platform logs.</v>
      </c>
      <c r="C220" t="s">
        <v>236</v>
      </c>
      <c r="D220">
        <v>66</v>
      </c>
      <c r="E220" t="s">
        <v>12</v>
      </c>
      <c r="F220" t="s">
        <v>9</v>
      </c>
      <c r="G220" t="s">
        <v>550</v>
      </c>
      <c r="H220" t="s">
        <v>551</v>
      </c>
    </row>
    <row r="221" spans="1:8" x14ac:dyDescent="0.25">
      <c r="A221" t="s">
        <v>31</v>
      </c>
      <c r="B221" t="str">
        <f>VLOOKUP(A221,IDE_ConOps_4_3_Model_LVL3!C:H,6,FALSE)</f>
        <v>The IDE 'Secure Platform' and 'IDE Capability Layer' components shall be hardened to comply with NIST SP 800-53 (Rev 5).</v>
      </c>
      <c r="C221" t="s">
        <v>236</v>
      </c>
      <c r="D221">
        <v>67</v>
      </c>
      <c r="E221" t="s">
        <v>33</v>
      </c>
      <c r="F221" t="s">
        <v>9</v>
      </c>
      <c r="G221" t="s">
        <v>553</v>
      </c>
      <c r="H221" t="s">
        <v>554</v>
      </c>
    </row>
    <row r="222" spans="1:8" x14ac:dyDescent="0.25">
      <c r="A222" t="s">
        <v>244</v>
      </c>
      <c r="B222" t="str">
        <f>VLOOKUP(A222,IDE_ConOps_4_3_Model_LVL3!C:H,6,FALSE)</f>
        <v>The 'site deployment package' shall include user and administrator documentation.</v>
      </c>
      <c r="C222" t="s">
        <v>236</v>
      </c>
      <c r="D222">
        <v>68</v>
      </c>
      <c r="E222" t="s">
        <v>245</v>
      </c>
      <c r="F222" t="s">
        <v>9</v>
      </c>
      <c r="G222" t="s">
        <v>556</v>
      </c>
      <c r="H222" t="s">
        <v>996</v>
      </c>
    </row>
    <row r="223" spans="1:8" x14ac:dyDescent="0.25">
      <c r="A223" t="s">
        <v>10</v>
      </c>
      <c r="B223" t="str">
        <f>VLOOKUP(A223,IDE_ConOps_4_3_Model_LVL3!C:H,6,FALSE)</f>
        <v>The IDE shall provide a 'Centralized Logging and Monitoring' service as a consolidated pipeline for all security audit events.</v>
      </c>
      <c r="C223" t="s">
        <v>236</v>
      </c>
      <c r="D223">
        <v>69</v>
      </c>
      <c r="E223" t="s">
        <v>12</v>
      </c>
      <c r="F223" t="s">
        <v>9</v>
      </c>
      <c r="G223" t="s">
        <v>558</v>
      </c>
      <c r="H223" t="s">
        <v>393</v>
      </c>
    </row>
    <row r="224" spans="1:8" x14ac:dyDescent="0.25">
      <c r="A224" t="s">
        <v>10</v>
      </c>
      <c r="B224" t="str">
        <f>VLOOKUP(A224,IDE_ConOps_4_3_Model_LVL3!C:H,6,FALSE)</f>
        <v>The IDE shall provide a 'Centralized Logging and Monitoring' service as a consolidated pipeline for all security audit events.</v>
      </c>
      <c r="C224" t="s">
        <v>236</v>
      </c>
      <c r="D224">
        <v>70</v>
      </c>
      <c r="E224" t="s">
        <v>12</v>
      </c>
      <c r="F224" t="s">
        <v>9</v>
      </c>
      <c r="G224" t="s">
        <v>560</v>
      </c>
      <c r="H224" t="s">
        <v>996</v>
      </c>
    </row>
    <row r="225" spans="1:8" x14ac:dyDescent="0.25">
      <c r="A225" t="s">
        <v>259</v>
      </c>
      <c r="B225" t="str">
        <f>VLOOKUP(A225,IDE_ConOps_4_3_Model_LVL3!C:H,6,FALSE)</f>
        <v>The IDE shall integrate all 'Centralized Secrets Management' access and management actions with the 'Centralized Logging' service to ensure all actions are auditable.</v>
      </c>
      <c r="C225" t="s">
        <v>236</v>
      </c>
      <c r="D225">
        <v>71</v>
      </c>
      <c r="E225" t="s">
        <v>63</v>
      </c>
      <c r="F225" t="s">
        <v>9</v>
      </c>
      <c r="G225" t="s">
        <v>562</v>
      </c>
      <c r="H225" t="s">
        <v>563</v>
      </c>
    </row>
    <row r="226" spans="1:8" x14ac:dyDescent="0.25">
      <c r="A226" t="s">
        <v>50</v>
      </c>
      <c r="B226" t="str">
        <f>VLOOKUP(A226,IDE_ConOps_4_3_Model_LVL3!C:H,6,FALSE)</f>
        <v>The IDE shall provide a 'Centralized Health Dashboard' to display real-time health status, performance metrics, and Key Performance Indicators (KPIs) of all platform components.</v>
      </c>
      <c r="C226" t="s">
        <v>236</v>
      </c>
      <c r="D226">
        <v>72</v>
      </c>
      <c r="E226" t="s">
        <v>8</v>
      </c>
      <c r="F226" t="s">
        <v>9</v>
      </c>
      <c r="G226" t="s">
        <v>565</v>
      </c>
      <c r="H226" t="s">
        <v>409</v>
      </c>
    </row>
    <row r="227" spans="1:8" x14ac:dyDescent="0.25">
      <c r="A227" t="s">
        <v>252</v>
      </c>
      <c r="B227" t="str">
        <f>VLOOKUP(A227,IDE_ConOps_4_3_Model_LVL3!C:H,6,FALSE)</f>
        <v>The IDE shall provide a DoD DevSecOps compliant capability for artifact binary control.</v>
      </c>
      <c r="C227" t="s">
        <v>236</v>
      </c>
      <c r="D227">
        <v>73</v>
      </c>
      <c r="E227" t="s">
        <v>29</v>
      </c>
      <c r="F227" t="s">
        <v>9</v>
      </c>
      <c r="G227" t="s">
        <v>567</v>
      </c>
      <c r="H227" t="s">
        <v>396</v>
      </c>
    </row>
    <row r="228" spans="1:8" x14ac:dyDescent="0.25">
      <c r="A228" t="s">
        <v>237</v>
      </c>
      <c r="B228" t="str">
        <f>VLOOKUP(A228,IDE_ConOps_4_3_Model_LVL3!C:H,6,FALSE)</f>
        <v>The IDE shall provide a Kubernetes (K8s) orchestrator as the foundational platform for all containerized services and applications.</v>
      </c>
      <c r="C228" t="s">
        <v>236</v>
      </c>
      <c r="D228">
        <v>74</v>
      </c>
      <c r="E228" t="s">
        <v>238</v>
      </c>
      <c r="F228" t="s">
        <v>9</v>
      </c>
      <c r="G228" t="s">
        <v>569</v>
      </c>
      <c r="H228" t="s">
        <v>541</v>
      </c>
    </row>
    <row r="229" spans="1:8" x14ac:dyDescent="0.25">
      <c r="A229" t="s">
        <v>215</v>
      </c>
      <c r="B229" t="str">
        <f>VLOOKUP(A229,IDE_ConOps_4_3_Model_LVL3!C:H,6,FALSE)</f>
        <v>The mandated shared 'Service Mesh' shall enforce zero-trust security via mutually authenticated mTLS for all service-to-service communication.</v>
      </c>
      <c r="C229" t="s">
        <v>236</v>
      </c>
      <c r="D229">
        <v>75</v>
      </c>
      <c r="E229" t="s">
        <v>63</v>
      </c>
      <c r="F229" t="s">
        <v>9</v>
      </c>
      <c r="G229" t="s">
        <v>571</v>
      </c>
      <c r="H229" t="s">
        <v>572</v>
      </c>
    </row>
    <row r="230" spans="1:8" x14ac:dyDescent="0.25">
      <c r="A230" t="s">
        <v>132</v>
      </c>
      <c r="B230" t="str">
        <f>VLOOKUP(A230,IDE_ConOps_4_3_Model_LVL3!C:H,6,FALSE)</f>
        <v>The IDE shall complete the 'Platform Patching and Upgrades' scenario (Scenario 5.2.2), from execution of the upgrade command to operational readiness, in under one (1) hour.</v>
      </c>
      <c r="C230" t="s">
        <v>236</v>
      </c>
      <c r="D230">
        <v>76</v>
      </c>
      <c r="E230" t="s">
        <v>134</v>
      </c>
      <c r="F230" t="s">
        <v>9</v>
      </c>
      <c r="G230" t="s">
        <v>574</v>
      </c>
      <c r="H230" t="s">
        <v>996</v>
      </c>
    </row>
    <row r="231" spans="1:8" x14ac:dyDescent="0.25">
      <c r="A231" t="s">
        <v>180</v>
      </c>
      <c r="B231" t="str">
        <f>VLOOKUP(A231,IDE_ConOps_4_3_Model_LVL3!C:H,6,FALSE)</f>
        <v>The IDE platform shall be environment-agnostic, supporting deployment in on-premises, private cloud, public cloud, and fully air-gapped networks.</v>
      </c>
      <c r="C231" t="s">
        <v>236</v>
      </c>
      <c r="D231">
        <v>77</v>
      </c>
      <c r="E231" t="s">
        <v>182</v>
      </c>
      <c r="F231" t="s">
        <v>9</v>
      </c>
      <c r="G231" t="s">
        <v>576</v>
      </c>
      <c r="H231" t="s">
        <v>577</v>
      </c>
    </row>
    <row r="232" spans="1:8" x14ac:dyDescent="0.25">
      <c r="A232" t="s">
        <v>242</v>
      </c>
      <c r="B232" t="str">
        <f>VLOOKUP(A232,IDE_ConOps_4_3_Model_LVL3!C:H,6,FALSE)</f>
        <v>The IDE shall provide a mandated shared 'Service Mesh' that provides service discovery.</v>
      </c>
      <c r="C232" t="s">
        <v>236</v>
      </c>
      <c r="D232">
        <v>78</v>
      </c>
      <c r="E232" t="s">
        <v>63</v>
      </c>
      <c r="F232" t="s">
        <v>9</v>
      </c>
      <c r="G232" t="s">
        <v>579</v>
      </c>
      <c r="H232" t="s">
        <v>396</v>
      </c>
    </row>
    <row r="233" spans="1:8" x14ac:dyDescent="0.25">
      <c r="A233" t="s">
        <v>50</v>
      </c>
      <c r="B233" t="str">
        <f>VLOOKUP(A233,IDE_ConOps_4_3_Model_LVL3!C:H,6,FALSE)</f>
        <v>The IDE shall provide a 'Centralized Health Dashboard' to display real-time health status, performance metrics, and Key Performance Indicators (KPIs) of all platform components.</v>
      </c>
      <c r="C233" t="s">
        <v>236</v>
      </c>
      <c r="D233">
        <v>79</v>
      </c>
      <c r="E233" t="s">
        <v>8</v>
      </c>
      <c r="F233" t="s">
        <v>9</v>
      </c>
      <c r="G233" t="s">
        <v>581</v>
      </c>
      <c r="H233" t="s">
        <v>996</v>
      </c>
    </row>
    <row r="234" spans="1:8" x14ac:dyDescent="0.25">
      <c r="A234" t="s">
        <v>241</v>
      </c>
      <c r="B234" t="str">
        <f>VLOOKUP(A234,IDE_ConOps_4_3_Model_LVL3!C:H,6,FALSE)</f>
        <v>The IDE shall provide a mandated shared service for 'Backup and Recovery' that performs automated, policy-based backups of the platform state and customer data.</v>
      </c>
      <c r="C234" t="s">
        <v>236</v>
      </c>
      <c r="D234">
        <v>80</v>
      </c>
      <c r="E234" t="s">
        <v>63</v>
      </c>
      <c r="F234" t="s">
        <v>9</v>
      </c>
      <c r="G234" t="s">
        <v>583</v>
      </c>
      <c r="H234" t="s">
        <v>412</v>
      </c>
    </row>
    <row r="235" spans="1:8" x14ac:dyDescent="0.25">
      <c r="A235" t="s">
        <v>50</v>
      </c>
      <c r="B235" t="str">
        <f>VLOOKUP(A235,IDE_ConOps_4_3_Model_LVL3!C:H,6,FALSE)</f>
        <v>The IDE shall provide a 'Centralized Health Dashboard' to display real-time health status, performance metrics, and Key Performance Indicators (KPIs) of all platform components.</v>
      </c>
      <c r="C235" t="s">
        <v>236</v>
      </c>
      <c r="D235">
        <v>81</v>
      </c>
      <c r="E235" t="s">
        <v>8</v>
      </c>
      <c r="F235" t="s">
        <v>9</v>
      </c>
      <c r="G235" t="s">
        <v>585</v>
      </c>
      <c r="H235" t="s">
        <v>586</v>
      </c>
    </row>
    <row r="236" spans="1:8" x14ac:dyDescent="0.25">
      <c r="A236" t="s">
        <v>50</v>
      </c>
      <c r="B236" t="str">
        <f>VLOOKUP(A236,IDE_ConOps_4_3_Model_LVL3!C:H,6,FALSE)</f>
        <v>The IDE shall provide a 'Centralized Health Dashboard' to display real-time health status, performance metrics, and Key Performance Indicators (KPIs) of all platform components.</v>
      </c>
      <c r="C236" t="s">
        <v>236</v>
      </c>
      <c r="D236">
        <v>82</v>
      </c>
      <c r="E236" t="s">
        <v>8</v>
      </c>
      <c r="F236" t="s">
        <v>9</v>
      </c>
      <c r="G236" t="s">
        <v>588</v>
      </c>
      <c r="H236" t="s">
        <v>589</v>
      </c>
    </row>
    <row r="237" spans="1:8" x14ac:dyDescent="0.25">
      <c r="A237" t="s">
        <v>250</v>
      </c>
      <c r="B237" t="str">
        <f>VLOOKUP(A237,IDE_ConOps_4_3_Model_LVL3!C:H,6,FALSE)</f>
        <v>The mandated shared 'Service Mesh' shall provide policy-driven traffic management.</v>
      </c>
      <c r="C237" t="s">
        <v>236</v>
      </c>
      <c r="D237">
        <v>83</v>
      </c>
      <c r="E237" t="s">
        <v>63</v>
      </c>
      <c r="F237" t="s">
        <v>9</v>
      </c>
      <c r="G237" t="s">
        <v>591</v>
      </c>
      <c r="H237" t="s">
        <v>592</v>
      </c>
    </row>
    <row r="238" spans="1:8" x14ac:dyDescent="0.25">
      <c r="A238" t="s">
        <v>87</v>
      </c>
      <c r="B238" t="str">
        <f>VLOOKUP(A238,IDE_ConOps_4_3_Model_LVL3!C:H,6,FALSE)</f>
        <v>The IDE shall provide a 'Centralized Logging and Monitoring' service as a consolidated pipeline for all platform logs.</v>
      </c>
      <c r="C238" t="s">
        <v>236</v>
      </c>
      <c r="D238">
        <v>84</v>
      </c>
      <c r="E238" t="s">
        <v>12</v>
      </c>
      <c r="F238" t="s">
        <v>9</v>
      </c>
      <c r="G238" t="s">
        <v>594</v>
      </c>
      <c r="H238" t="s">
        <v>393</v>
      </c>
    </row>
    <row r="239" spans="1:8" x14ac:dyDescent="0.25">
      <c r="A239" t="s">
        <v>255</v>
      </c>
      <c r="B239" t="str">
        <f>VLOOKUP(A239,IDE_ConOps_4_3_Model_LVL3!C:H,6,FALSE)</f>
        <v>The IDE shall complete the 'Day 0 Provisioning' scenario (Scenario 5.1.1), from execution of the bootstrap command to operational readiness, in less than four (4) hours.</v>
      </c>
      <c r="C239" t="s">
        <v>236</v>
      </c>
      <c r="D239">
        <v>85</v>
      </c>
      <c r="E239" t="s">
        <v>256</v>
      </c>
      <c r="F239" t="s">
        <v>9</v>
      </c>
      <c r="G239" t="s">
        <v>596</v>
      </c>
      <c r="H239" t="s">
        <v>597</v>
      </c>
    </row>
    <row r="240" spans="1:8" x14ac:dyDescent="0.25">
      <c r="A240" t="s">
        <v>50</v>
      </c>
      <c r="B240" t="str">
        <f>VLOOKUP(A240,IDE_ConOps_4_3_Model_LVL3!C:H,6,FALSE)</f>
        <v>The IDE shall provide a 'Centralized Health Dashboard' to display real-time health status, performance metrics, and Key Performance Indicators (KPIs) of all platform components.</v>
      </c>
      <c r="C240" t="s">
        <v>236</v>
      </c>
      <c r="D240">
        <v>86</v>
      </c>
      <c r="E240" t="s">
        <v>8</v>
      </c>
      <c r="F240" t="s">
        <v>9</v>
      </c>
      <c r="G240" t="s">
        <v>599</v>
      </c>
      <c r="H240" t="s">
        <v>412</v>
      </c>
    </row>
    <row r="241" spans="1:8" x14ac:dyDescent="0.25">
      <c r="A241" t="s">
        <v>87</v>
      </c>
      <c r="B241" t="str">
        <f>VLOOKUP(A241,IDE_ConOps_4_3_Model_LVL3!C:H,6,FALSE)</f>
        <v>The IDE shall provide a 'Centralized Logging and Monitoring' service as a consolidated pipeline for all platform logs.</v>
      </c>
      <c r="C241" t="s">
        <v>236</v>
      </c>
      <c r="D241">
        <v>87</v>
      </c>
      <c r="E241" t="s">
        <v>12</v>
      </c>
      <c r="F241" t="s">
        <v>9</v>
      </c>
      <c r="G241" t="s">
        <v>601</v>
      </c>
      <c r="H241" t="s">
        <v>404</v>
      </c>
    </row>
    <row r="242" spans="1:8" x14ac:dyDescent="0.25">
      <c r="A242" t="s">
        <v>57</v>
      </c>
      <c r="B242" t="str">
        <f>VLOOKUP(A242,IDE_ConOps_4_3_Model_LVL3!C:H,6,FALSE)</f>
        <v>The IDE shall provide a 'full IDE System Restore' capability to restore the platform from an automated backup, as defined in Scenario 5.4.3.</v>
      </c>
      <c r="C242" t="s">
        <v>236</v>
      </c>
      <c r="D242">
        <v>88</v>
      </c>
      <c r="E242" t="s">
        <v>59</v>
      </c>
      <c r="F242" t="s">
        <v>9</v>
      </c>
      <c r="G242" t="s">
        <v>603</v>
      </c>
      <c r="H242" t="s">
        <v>415</v>
      </c>
    </row>
    <row r="243" spans="1:8" x14ac:dyDescent="0.25">
      <c r="A243" t="s">
        <v>50</v>
      </c>
      <c r="B243" t="str">
        <f>VLOOKUP(A243,IDE_ConOps_4_3_Model_LVL3!C:H,6,FALSE)</f>
        <v>The IDE shall provide a 'Centralized Health Dashboard' to display real-time health status, performance metrics, and Key Performance Indicators (KPIs) of all platform components.</v>
      </c>
      <c r="C243" t="s">
        <v>236</v>
      </c>
      <c r="D243">
        <v>89</v>
      </c>
      <c r="E243" t="s">
        <v>8</v>
      </c>
      <c r="F243" t="s">
        <v>9</v>
      </c>
      <c r="G243" t="s">
        <v>605</v>
      </c>
      <c r="H243" t="s">
        <v>586</v>
      </c>
    </row>
    <row r="244" spans="1:8" x14ac:dyDescent="0.25">
      <c r="A244" t="s">
        <v>240</v>
      </c>
      <c r="B244" t="str">
        <f>VLOOKUP(A244,IDE_ConOps_4_3_Model_LVL3!C:H,6,FALSE)</f>
        <v>The IDE shall provide a DoD DevSecOps compliant capability for Continuous Integration and Continuous Deployment (CI/CD).</v>
      </c>
      <c r="C244" t="s">
        <v>236</v>
      </c>
      <c r="D244">
        <v>90</v>
      </c>
      <c r="E244" t="s">
        <v>29</v>
      </c>
      <c r="F244" t="s">
        <v>9</v>
      </c>
      <c r="G244" t="s">
        <v>607</v>
      </c>
      <c r="H244" t="s">
        <v>409</v>
      </c>
    </row>
    <row r="245" spans="1:8" x14ac:dyDescent="0.25">
      <c r="A245" t="s">
        <v>240</v>
      </c>
      <c r="B245" t="str">
        <f>VLOOKUP(A245,IDE_ConOps_4_3_Model_LVL3!C:H,6,FALSE)</f>
        <v>The IDE shall provide a DoD DevSecOps compliant capability for Continuous Integration and Continuous Deployment (CI/CD).</v>
      </c>
      <c r="C245" t="s">
        <v>236</v>
      </c>
      <c r="D245">
        <v>91</v>
      </c>
      <c r="E245" t="s">
        <v>29</v>
      </c>
      <c r="F245" t="s">
        <v>9</v>
      </c>
      <c r="G245" t="s">
        <v>609</v>
      </c>
      <c r="H245" t="s">
        <v>409</v>
      </c>
    </row>
    <row r="246" spans="1:8" x14ac:dyDescent="0.25">
      <c r="A246" t="s">
        <v>237</v>
      </c>
      <c r="B246" t="str">
        <f>VLOOKUP(A246,IDE_ConOps_4_3_Model_LVL3!C:H,6,FALSE)</f>
        <v>The IDE shall provide a Kubernetes (K8s) orchestrator as the foundational platform for all containerized services and applications.</v>
      </c>
      <c r="C246" t="s">
        <v>236</v>
      </c>
      <c r="D246">
        <v>92</v>
      </c>
      <c r="E246" t="s">
        <v>238</v>
      </c>
      <c r="F246" t="s">
        <v>9</v>
      </c>
      <c r="G246" t="s">
        <v>611</v>
      </c>
      <c r="H246" t="s">
        <v>612</v>
      </c>
    </row>
    <row r="247" spans="1:8" x14ac:dyDescent="0.25">
      <c r="A247" t="s">
        <v>237</v>
      </c>
      <c r="B247" t="str">
        <f>VLOOKUP(A247,IDE_ConOps_4_3_Model_LVL3!C:H,6,FALSE)</f>
        <v>The IDE shall provide a Kubernetes (K8s) orchestrator as the foundational platform for all containerized services and applications.</v>
      </c>
      <c r="C247" t="s">
        <v>236</v>
      </c>
      <c r="D247">
        <v>93</v>
      </c>
      <c r="E247" t="s">
        <v>238</v>
      </c>
      <c r="F247" t="s">
        <v>9</v>
      </c>
      <c r="G247" t="s">
        <v>614</v>
      </c>
      <c r="H247" t="s">
        <v>504</v>
      </c>
    </row>
    <row r="248" spans="1:8" x14ac:dyDescent="0.25">
      <c r="A248" t="s">
        <v>253</v>
      </c>
      <c r="B248" t="str">
        <f>VLOOKUP(A248,IDE_ConOps_4_3_Model_LVL3!C:H,6,FALSE)</f>
        <v>The 'site deployment package' shall be a comprehensive, self-contained offline package suitable for air-gapped environment deployment.</v>
      </c>
      <c r="C248" t="s">
        <v>236</v>
      </c>
      <c r="D248">
        <v>94</v>
      </c>
      <c r="E248" t="s">
        <v>254</v>
      </c>
      <c r="F248" t="s">
        <v>9</v>
      </c>
      <c r="G248" t="s">
        <v>616</v>
      </c>
      <c r="H248" t="s">
        <v>526</v>
      </c>
    </row>
    <row r="249" spans="1:8" x14ac:dyDescent="0.25">
      <c r="A249" t="s">
        <v>43</v>
      </c>
      <c r="B249" t="str">
        <f>VLOOKUP(A249,IDE_ConOps_4_3_Model_LVL3!C:H,6,FALSE)</f>
        <v>The IDE Factory shall provide a web-based 'Configuration Portal' for customers to configure and procure new IDE Instances and updates.</v>
      </c>
      <c r="C249" t="s">
        <v>236</v>
      </c>
      <c r="D249">
        <v>95</v>
      </c>
      <c r="E249" t="s">
        <v>40</v>
      </c>
      <c r="F249" t="s">
        <v>9</v>
      </c>
      <c r="G249" t="s">
        <v>618</v>
      </c>
      <c r="H249" t="s">
        <v>454</v>
      </c>
    </row>
    <row r="250" spans="1:8" x14ac:dyDescent="0.25">
      <c r="A250" t="s">
        <v>180</v>
      </c>
      <c r="B250" t="str">
        <f>VLOOKUP(A250,IDE_ConOps_4_3_Model_LVL3!C:H,6,FALSE)</f>
        <v>The IDE platform shall be environment-agnostic, supporting deployment in on-premises, private cloud, public cloud, and fully air-gapped networks.</v>
      </c>
      <c r="C250" t="s">
        <v>236</v>
      </c>
      <c r="D250">
        <v>96</v>
      </c>
      <c r="E250" t="s">
        <v>182</v>
      </c>
      <c r="F250" t="s">
        <v>9</v>
      </c>
      <c r="G250" t="s">
        <v>620</v>
      </c>
      <c r="H250" t="s">
        <v>621</v>
      </c>
    </row>
    <row r="251" spans="1:8" x14ac:dyDescent="0.25">
      <c r="A251" t="s">
        <v>34</v>
      </c>
      <c r="B251" t="str">
        <f>VLOOKUP(A251,IDE_ConOps_4_3_Model_LVL3!C:H,6,FALSE)</f>
        <v>The IDE shall provide a 'Centralized Health Dashboard' to display real-time performance status of all platform components.</v>
      </c>
      <c r="C251" t="s">
        <v>236</v>
      </c>
      <c r="D251">
        <v>97</v>
      </c>
      <c r="E251" t="s">
        <v>8</v>
      </c>
      <c r="F251" t="s">
        <v>9</v>
      </c>
      <c r="G251" t="s">
        <v>623</v>
      </c>
      <c r="H251" t="s">
        <v>483</v>
      </c>
    </row>
    <row r="252" spans="1:8" x14ac:dyDescent="0.25">
      <c r="A252" t="s">
        <v>237</v>
      </c>
      <c r="B252" t="str">
        <f>VLOOKUP(A252,IDE_ConOps_4_3_Model_LVL3!C:H,6,FALSE)</f>
        <v>The IDE shall provide a Kubernetes (K8s) orchestrator as the foundational platform for all containerized services and applications.</v>
      </c>
      <c r="C252" t="s">
        <v>236</v>
      </c>
      <c r="D252">
        <v>98</v>
      </c>
      <c r="E252" t="s">
        <v>238</v>
      </c>
      <c r="F252" t="s">
        <v>9</v>
      </c>
      <c r="G252" t="s">
        <v>625</v>
      </c>
      <c r="H252" t="s">
        <v>626</v>
      </c>
    </row>
    <row r="253" spans="1:8" x14ac:dyDescent="0.25">
      <c r="A253" t="s">
        <v>241</v>
      </c>
      <c r="B253" t="str">
        <f>VLOOKUP(A253,IDE_ConOps_4_3_Model_LVL3!C:H,6,FALSE)</f>
        <v>The IDE shall provide a mandated shared service for 'Backup and Recovery' that performs automated, policy-based backups of the platform state and customer data.</v>
      </c>
      <c r="C253" t="s">
        <v>236</v>
      </c>
      <c r="D253">
        <v>99</v>
      </c>
      <c r="E253" t="s">
        <v>63</v>
      </c>
      <c r="F253" t="s">
        <v>9</v>
      </c>
      <c r="G253" t="s">
        <v>628</v>
      </c>
      <c r="H253" t="s">
        <v>434</v>
      </c>
    </row>
    <row r="254" spans="1:8" x14ac:dyDescent="0.25">
      <c r="A254" t="s">
        <v>43</v>
      </c>
      <c r="B254" t="str">
        <f>VLOOKUP(A254,IDE_ConOps_4_3_Model_LVL3!C:H,6,FALSE)</f>
        <v>The IDE Factory shall provide a web-based 'Configuration Portal' for customers to configure and procure new IDE Instances and updates.</v>
      </c>
      <c r="C254" t="s">
        <v>236</v>
      </c>
      <c r="D254">
        <v>100</v>
      </c>
      <c r="E254" t="s">
        <v>40</v>
      </c>
      <c r="F254" t="s">
        <v>9</v>
      </c>
      <c r="G254" t="s">
        <v>630</v>
      </c>
      <c r="H254" t="s">
        <v>454</v>
      </c>
    </row>
    <row r="255" spans="1:8" x14ac:dyDescent="0.25">
      <c r="A255" t="s">
        <v>111</v>
      </c>
      <c r="B255" t="str">
        <f>VLOOKUP(A255,IDE_ConOps_4_3_Model_LVL3!C:H,6,FALSE)</f>
        <v>The IDE shall provide a DoD DevSecOps compliant capability for software version control.</v>
      </c>
      <c r="C255" t="s">
        <v>236</v>
      </c>
      <c r="D255">
        <v>101</v>
      </c>
      <c r="E255" t="s">
        <v>29</v>
      </c>
      <c r="F255" t="s">
        <v>9</v>
      </c>
      <c r="G255" t="s">
        <v>632</v>
      </c>
      <c r="H255" t="s">
        <v>633</v>
      </c>
    </row>
    <row r="256" spans="1:8" x14ac:dyDescent="0.25">
      <c r="A256" t="s">
        <v>183</v>
      </c>
      <c r="B256" t="str">
        <f>VLOOKUP(A256,IDE_ConOps_4_3_Model_LVL3!C:H,6,FALSE)</f>
        <v>The 'Centralized Secrets Management' service shall encrypt secrets at rest and in transit using FIPS-approved algorithms.</v>
      </c>
      <c r="C256" t="s">
        <v>236</v>
      </c>
      <c r="D256">
        <v>102</v>
      </c>
      <c r="E256" t="s">
        <v>63</v>
      </c>
      <c r="F256" t="s">
        <v>9</v>
      </c>
      <c r="G256" t="s">
        <v>635</v>
      </c>
      <c r="H256" t="s">
        <v>636</v>
      </c>
    </row>
    <row r="257" spans="1:8" x14ac:dyDescent="0.25">
      <c r="A257" t="s">
        <v>183</v>
      </c>
      <c r="B257" t="str">
        <f>VLOOKUP(A257,IDE_ConOps_4_3_Model_LVL3!C:H,6,FALSE)</f>
        <v>The 'Centralized Secrets Management' service shall encrypt secrets at rest and in transit using FIPS-approved algorithms.</v>
      </c>
      <c r="C257" t="s">
        <v>236</v>
      </c>
      <c r="D257">
        <v>103</v>
      </c>
      <c r="E257" t="s">
        <v>63</v>
      </c>
      <c r="F257" t="s">
        <v>9</v>
      </c>
      <c r="G257" t="s">
        <v>638</v>
      </c>
      <c r="H257" t="s">
        <v>996</v>
      </c>
    </row>
    <row r="258" spans="1:8" x14ac:dyDescent="0.25">
      <c r="A258" t="s">
        <v>260</v>
      </c>
      <c r="B258" t="str">
        <f>VLOOKUP(A258,IDE_ConOps_4_3_Model_LVL3!C:H,6,FALSE)</f>
        <v>The mandated shared service for 'Centralized Secrets Management' shall support the secure distribution of platform and application credentials.</v>
      </c>
      <c r="C258" t="s">
        <v>236</v>
      </c>
      <c r="D258">
        <v>104</v>
      </c>
      <c r="E258" t="s">
        <v>63</v>
      </c>
      <c r="F258" t="s">
        <v>9</v>
      </c>
      <c r="G258" t="s">
        <v>640</v>
      </c>
      <c r="H258" t="s">
        <v>404</v>
      </c>
    </row>
    <row r="259" spans="1:8" x14ac:dyDescent="0.25">
      <c r="A259" t="s">
        <v>260</v>
      </c>
      <c r="B259" t="str">
        <f>VLOOKUP(A259,IDE_ConOps_4_3_Model_LVL3!C:H,6,FALSE)</f>
        <v>The mandated shared service for 'Centralized Secrets Management' shall support the secure distribution of platform and application credentials.</v>
      </c>
      <c r="C259" t="s">
        <v>236</v>
      </c>
      <c r="D259">
        <v>105</v>
      </c>
      <c r="E259" t="s">
        <v>63</v>
      </c>
      <c r="F259" t="s">
        <v>9</v>
      </c>
      <c r="G259" t="s">
        <v>642</v>
      </c>
      <c r="H259" t="s">
        <v>423</v>
      </c>
    </row>
    <row r="260" spans="1:8" x14ac:dyDescent="0.25">
      <c r="A260" t="s">
        <v>243</v>
      </c>
      <c r="B260" t="str">
        <f>VLOOKUP(A260,IDE_ConOps_4_3_Model_LVL3!C:H,6,FALSE)</f>
        <v>The mandated shared service for 'Centralized Secrets Management' shall support the secure rotation of platform and application credentials.</v>
      </c>
      <c r="C260" t="s">
        <v>236</v>
      </c>
      <c r="D260">
        <v>106</v>
      </c>
      <c r="E260" t="s">
        <v>63</v>
      </c>
      <c r="F260" t="s">
        <v>9</v>
      </c>
      <c r="G260" t="s">
        <v>644</v>
      </c>
      <c r="H260" t="s">
        <v>404</v>
      </c>
    </row>
    <row r="261" spans="1:8" x14ac:dyDescent="0.25">
      <c r="A261" t="s">
        <v>244</v>
      </c>
      <c r="B261" t="str">
        <f>VLOOKUP(A261,IDE_ConOps_4_3_Model_LVL3!C:H,6,FALSE)</f>
        <v>The 'site deployment package' shall include user and administrator documentation.</v>
      </c>
      <c r="C261" t="s">
        <v>236</v>
      </c>
      <c r="D261">
        <v>107</v>
      </c>
      <c r="E261" t="s">
        <v>245</v>
      </c>
      <c r="F261" t="s">
        <v>9</v>
      </c>
      <c r="G261" t="s">
        <v>646</v>
      </c>
      <c r="H261" t="s">
        <v>454</v>
      </c>
    </row>
    <row r="262" spans="1:8" x14ac:dyDescent="0.25">
      <c r="A262" t="s">
        <v>237</v>
      </c>
      <c r="B262" t="str">
        <f>VLOOKUP(A262,IDE_ConOps_4_3_Model_LVL3!C:H,6,FALSE)</f>
        <v>The IDE shall provide a Kubernetes (K8s) orchestrator as the foundational platform for all containerized services and applications.</v>
      </c>
      <c r="C262" t="s">
        <v>236</v>
      </c>
      <c r="D262">
        <v>108</v>
      </c>
      <c r="E262" t="s">
        <v>238</v>
      </c>
      <c r="F262" t="s">
        <v>9</v>
      </c>
      <c r="G262" t="s">
        <v>648</v>
      </c>
      <c r="H262" t="s">
        <v>649</v>
      </c>
    </row>
    <row r="263" spans="1:8" x14ac:dyDescent="0.25">
      <c r="A263" t="s">
        <v>10</v>
      </c>
      <c r="B263" t="str">
        <f>VLOOKUP(A263,IDE_ConOps_4_3_Model_LVL3!C:H,6,FALSE)</f>
        <v>The IDE shall provide a 'Centralized Logging and Monitoring' service as a consolidated pipeline for all security audit events.</v>
      </c>
      <c r="C263" t="s">
        <v>236</v>
      </c>
      <c r="D263">
        <v>109</v>
      </c>
      <c r="E263" t="s">
        <v>12</v>
      </c>
      <c r="F263" t="s">
        <v>9</v>
      </c>
      <c r="G263" t="s">
        <v>651</v>
      </c>
      <c r="H263" t="s">
        <v>546</v>
      </c>
    </row>
    <row r="264" spans="1:8" x14ac:dyDescent="0.25">
      <c r="A264" t="s">
        <v>47</v>
      </c>
      <c r="B264" t="str">
        <f>VLOOKUP(A264,IDE_ConOps_4_3_Model_LVL3!C:H,6,FALSE)</f>
        <v>The IDE shall provide a mandated shared service for Centralized Authentication and Authorization (SSO) that functions as an identity broker, connecting to a customer-provided Identity Provider (IdP).</v>
      </c>
      <c r="C264" t="s">
        <v>236</v>
      </c>
      <c r="D264">
        <v>110</v>
      </c>
      <c r="E264" t="s">
        <v>49</v>
      </c>
      <c r="F264" t="s">
        <v>18</v>
      </c>
      <c r="G264" t="s">
        <v>653</v>
      </c>
      <c r="H264" t="s">
        <v>654</v>
      </c>
    </row>
    <row r="265" spans="1:8" x14ac:dyDescent="0.25">
      <c r="A265" t="s">
        <v>261</v>
      </c>
      <c r="B265" t="str">
        <f>VLOOKUP(A265,IDE_ConOps_4_3_Model_LVL3!C:H,6,FALSE)</f>
        <v>The 'Consolidated Admin Interface' shall provide an administrative GUI for the 'Centralized Secrets Management' service.</v>
      </c>
      <c r="C265" t="s">
        <v>236</v>
      </c>
      <c r="D265">
        <v>111</v>
      </c>
      <c r="E265" t="s">
        <v>8</v>
      </c>
      <c r="F265" t="s">
        <v>9</v>
      </c>
      <c r="G265" t="s">
        <v>656</v>
      </c>
      <c r="H265" t="s">
        <v>657</v>
      </c>
    </row>
    <row r="266" spans="1:8" x14ac:dyDescent="0.25">
      <c r="A266" t="s">
        <v>50</v>
      </c>
      <c r="B266" t="str">
        <f>VLOOKUP(A266,IDE_ConOps_4_3_Model_LVL3!C:H,6,FALSE)</f>
        <v>The IDE shall provide a 'Centralized Health Dashboard' to display real-time health status, performance metrics, and Key Performance Indicators (KPIs) of all platform components.</v>
      </c>
      <c r="C266" t="s">
        <v>236</v>
      </c>
      <c r="D266">
        <v>112</v>
      </c>
      <c r="E266" t="s">
        <v>8</v>
      </c>
      <c r="F266" t="s">
        <v>9</v>
      </c>
      <c r="G266" t="s">
        <v>659</v>
      </c>
      <c r="H266" t="s">
        <v>393</v>
      </c>
    </row>
    <row r="267" spans="1:8" x14ac:dyDescent="0.25">
      <c r="A267" t="s">
        <v>258</v>
      </c>
      <c r="B267" t="str">
        <f>VLOOKUP(A267,IDE_ConOps_4_3_Model_LVL3!C:H,6,FALSE)</f>
        <v>The 'site deployment package' shall include the post-installation test scripts.</v>
      </c>
      <c r="C267" t="s">
        <v>236</v>
      </c>
      <c r="D267">
        <v>113</v>
      </c>
      <c r="E267" t="s">
        <v>245</v>
      </c>
      <c r="F267" t="s">
        <v>9</v>
      </c>
      <c r="G267" t="s">
        <v>661</v>
      </c>
      <c r="H267" t="s">
        <v>409</v>
      </c>
    </row>
    <row r="268" spans="1:8" x14ac:dyDescent="0.25">
      <c r="A268" t="s">
        <v>258</v>
      </c>
      <c r="B268" t="str">
        <f>VLOOKUP(A268,IDE_ConOps_4_3_Model_LVL3!C:H,6,FALSE)</f>
        <v>The 'site deployment package' shall include the post-installation test scripts.</v>
      </c>
      <c r="C268" t="s">
        <v>236</v>
      </c>
      <c r="D268">
        <v>114</v>
      </c>
      <c r="E268" t="s">
        <v>245</v>
      </c>
      <c r="F268" t="s">
        <v>9</v>
      </c>
      <c r="G268" t="s">
        <v>663</v>
      </c>
      <c r="H268" t="s">
        <v>589</v>
      </c>
    </row>
    <row r="269" spans="1:8" x14ac:dyDescent="0.25">
      <c r="A269" t="s">
        <v>250</v>
      </c>
      <c r="B269" t="str">
        <f>VLOOKUP(A269,IDE_ConOps_4_3_Model_LVL3!C:H,6,FALSE)</f>
        <v>The mandated shared 'Service Mesh' shall provide policy-driven traffic management.</v>
      </c>
      <c r="C269" t="s">
        <v>236</v>
      </c>
      <c r="D269">
        <v>115</v>
      </c>
      <c r="E269" t="s">
        <v>63</v>
      </c>
      <c r="F269" t="s">
        <v>9</v>
      </c>
      <c r="G269" t="s">
        <v>665</v>
      </c>
      <c r="H269" t="s">
        <v>496</v>
      </c>
    </row>
    <row r="270" spans="1:8" x14ac:dyDescent="0.25">
      <c r="A270" t="s">
        <v>34</v>
      </c>
      <c r="B270" t="str">
        <f>VLOOKUP(A270,IDE_ConOps_4_3_Model_LVL3!C:H,6,FALSE)</f>
        <v>The IDE shall provide a 'Centralized Health Dashboard' to display real-time performance status of all platform components.</v>
      </c>
      <c r="C270" t="s">
        <v>236</v>
      </c>
      <c r="D270">
        <v>116</v>
      </c>
      <c r="E270" t="s">
        <v>8</v>
      </c>
      <c r="F270" t="s">
        <v>9</v>
      </c>
      <c r="G270" t="s">
        <v>667</v>
      </c>
      <c r="H270" t="s">
        <v>996</v>
      </c>
    </row>
    <row r="271" spans="1:8" x14ac:dyDescent="0.25">
      <c r="A271" t="s">
        <v>34</v>
      </c>
      <c r="B271" t="str">
        <f>VLOOKUP(A271,IDE_ConOps_4_3_Model_LVL3!C:H,6,FALSE)</f>
        <v>The IDE shall provide a 'Centralized Health Dashboard' to display real-time performance status of all platform components.</v>
      </c>
      <c r="C271" t="s">
        <v>236</v>
      </c>
      <c r="D271">
        <v>117</v>
      </c>
      <c r="E271" t="s">
        <v>8</v>
      </c>
      <c r="F271" t="s">
        <v>9</v>
      </c>
      <c r="G271" t="s">
        <v>669</v>
      </c>
      <c r="H271" t="s">
        <v>670</v>
      </c>
    </row>
    <row r="272" spans="1:8" x14ac:dyDescent="0.25">
      <c r="A272" t="s">
        <v>50</v>
      </c>
      <c r="B272" t="str">
        <f>VLOOKUP(A272,IDE_ConOps_4_3_Model_LVL3!C:H,6,FALSE)</f>
        <v>The IDE shall provide a 'Centralized Health Dashboard' to display real-time health status, performance metrics, and Key Performance Indicators (KPIs) of all platform components.</v>
      </c>
      <c r="C272" t="s">
        <v>236</v>
      </c>
      <c r="D272">
        <v>118</v>
      </c>
      <c r="E272" t="s">
        <v>8</v>
      </c>
      <c r="F272" t="s">
        <v>9</v>
      </c>
      <c r="G272" t="s">
        <v>672</v>
      </c>
      <c r="H272" t="s">
        <v>589</v>
      </c>
    </row>
    <row r="273" spans="1:8" x14ac:dyDescent="0.25">
      <c r="A273" t="s">
        <v>258</v>
      </c>
      <c r="B273" t="str">
        <f>VLOOKUP(A273,IDE_ConOps_4_3_Model_LVL3!C:H,6,FALSE)</f>
        <v>The 'site deployment package' shall include the post-installation test scripts.</v>
      </c>
      <c r="C273" t="s">
        <v>236</v>
      </c>
      <c r="D273">
        <v>119</v>
      </c>
      <c r="E273" t="s">
        <v>245</v>
      </c>
      <c r="F273" t="s">
        <v>9</v>
      </c>
      <c r="G273" t="s">
        <v>674</v>
      </c>
      <c r="H273" t="s">
        <v>529</v>
      </c>
    </row>
    <row r="274" spans="1:8" x14ac:dyDescent="0.25">
      <c r="A274" t="s">
        <v>111</v>
      </c>
      <c r="B274" t="str">
        <f>VLOOKUP(A274,IDE_ConOps_4_3_Model_LVL3!C:H,6,FALSE)</f>
        <v>The IDE shall provide a DoD DevSecOps compliant capability for software version control.</v>
      </c>
      <c r="C274" t="s">
        <v>236</v>
      </c>
      <c r="D274">
        <v>120</v>
      </c>
      <c r="E274" t="s">
        <v>29</v>
      </c>
      <c r="F274" t="s">
        <v>9</v>
      </c>
      <c r="G274" t="s">
        <v>676</v>
      </c>
      <c r="H274" t="s">
        <v>677</v>
      </c>
    </row>
    <row r="275" spans="1:8" x14ac:dyDescent="0.25">
      <c r="A275" t="s">
        <v>247</v>
      </c>
      <c r="B275" t="str">
        <f>VLOOKUP(A275,IDE_ConOps_4_3_Model_LVL3!C:H,6,FALSE)</f>
        <v>The IDE shall provide a mandated shared service for 'In-Cluster VM Management' to orchestrate non-containerized workloads as virtual machines within the cluster.</v>
      </c>
      <c r="C275" t="s">
        <v>236</v>
      </c>
      <c r="D275">
        <v>121</v>
      </c>
      <c r="E275" t="s">
        <v>63</v>
      </c>
      <c r="F275" t="s">
        <v>9</v>
      </c>
      <c r="G275" t="s">
        <v>679</v>
      </c>
      <c r="H275" t="s">
        <v>621</v>
      </c>
    </row>
    <row r="276" spans="1:8" x14ac:dyDescent="0.25">
      <c r="A276" t="s">
        <v>244</v>
      </c>
      <c r="B276" t="str">
        <f>VLOOKUP(A276,IDE_ConOps_4_3_Model_LVL3!C:H,6,FALSE)</f>
        <v>The 'site deployment package' shall include user and administrator documentation.</v>
      </c>
      <c r="C276" t="s">
        <v>236</v>
      </c>
      <c r="D276">
        <v>122</v>
      </c>
      <c r="E276" t="s">
        <v>245</v>
      </c>
      <c r="F276" t="s">
        <v>9</v>
      </c>
      <c r="G276" t="s">
        <v>681</v>
      </c>
      <c r="H276" t="s">
        <v>621</v>
      </c>
    </row>
    <row r="277" spans="1:8" x14ac:dyDescent="0.25">
      <c r="A277" t="s">
        <v>247</v>
      </c>
      <c r="B277" t="str">
        <f>VLOOKUP(A277,IDE_ConOps_4_3_Model_LVL3!C:H,6,FALSE)</f>
        <v>The IDE shall provide a mandated shared service for 'In-Cluster VM Management' to orchestrate non-containerized workloads as virtual machines within the cluster.</v>
      </c>
      <c r="C277" t="s">
        <v>236</v>
      </c>
      <c r="D277">
        <v>123</v>
      </c>
      <c r="E277" t="s">
        <v>63</v>
      </c>
      <c r="F277" t="s">
        <v>9</v>
      </c>
      <c r="G277" t="s">
        <v>683</v>
      </c>
      <c r="H277" t="s">
        <v>621</v>
      </c>
    </row>
    <row r="278" spans="1:8" x14ac:dyDescent="0.25">
      <c r="A278" t="s">
        <v>247</v>
      </c>
      <c r="B278" t="str">
        <f>VLOOKUP(A278,IDE_ConOps_4_3_Model_LVL3!C:H,6,FALSE)</f>
        <v>The IDE shall provide a mandated shared service for 'In-Cluster VM Management' to orchestrate non-containerized workloads as virtual machines within the cluster.</v>
      </c>
      <c r="C278" t="s">
        <v>236</v>
      </c>
      <c r="D278">
        <v>124</v>
      </c>
      <c r="E278" t="s">
        <v>63</v>
      </c>
      <c r="F278" t="s">
        <v>9</v>
      </c>
      <c r="G278" t="s">
        <v>685</v>
      </c>
      <c r="H278" t="s">
        <v>621</v>
      </c>
    </row>
    <row r="279" spans="1:8" x14ac:dyDescent="0.25">
      <c r="A279" t="s">
        <v>247</v>
      </c>
      <c r="B279" t="str">
        <f>VLOOKUP(A279,IDE_ConOps_4_3_Model_LVL3!C:H,6,FALSE)</f>
        <v>The IDE shall provide a mandated shared service for 'In-Cluster VM Management' to orchestrate non-containerized workloads as virtual machines within the cluster.</v>
      </c>
      <c r="C279" t="s">
        <v>236</v>
      </c>
      <c r="D279">
        <v>125</v>
      </c>
      <c r="E279" t="s">
        <v>63</v>
      </c>
      <c r="F279" t="s">
        <v>9</v>
      </c>
      <c r="G279" t="s">
        <v>687</v>
      </c>
      <c r="H279" t="s">
        <v>621</v>
      </c>
    </row>
    <row r="280" spans="1:8" x14ac:dyDescent="0.25">
      <c r="A280" t="s">
        <v>34</v>
      </c>
      <c r="B280" t="str">
        <f>VLOOKUP(A280,IDE_ConOps_4_3_Model_LVL3!C:H,6,FALSE)</f>
        <v>The IDE shall provide a 'Centralized Health Dashboard' to display real-time performance status of all platform components.</v>
      </c>
      <c r="C280" t="s">
        <v>236</v>
      </c>
      <c r="D280">
        <v>126</v>
      </c>
      <c r="E280" t="s">
        <v>8</v>
      </c>
      <c r="F280" t="s">
        <v>9</v>
      </c>
      <c r="G280" t="s">
        <v>689</v>
      </c>
      <c r="H280" t="s">
        <v>393</v>
      </c>
    </row>
    <row r="281" spans="1:8" x14ac:dyDescent="0.25">
      <c r="A281" t="s">
        <v>10</v>
      </c>
      <c r="B281" t="str">
        <f>VLOOKUP(A281,IDE_ConOps_4_3_Model_LVL3!C:H,6,FALSE)</f>
        <v>The IDE shall provide a 'Centralized Logging and Monitoring' service as a consolidated pipeline for all security audit events.</v>
      </c>
      <c r="C281" t="s">
        <v>236</v>
      </c>
      <c r="D281">
        <v>128</v>
      </c>
      <c r="E281" t="s">
        <v>12</v>
      </c>
      <c r="F281" t="s">
        <v>9</v>
      </c>
      <c r="G281" t="s">
        <v>691</v>
      </c>
      <c r="H281" t="s">
        <v>393</v>
      </c>
    </row>
    <row r="282" spans="1:8" x14ac:dyDescent="0.25">
      <c r="A282" t="s">
        <v>10</v>
      </c>
      <c r="B282" t="str">
        <f>VLOOKUP(A282,IDE_ConOps_4_3_Model_LVL3!C:H,6,FALSE)</f>
        <v>The IDE shall provide a 'Centralized Logging and Monitoring' service as a consolidated pipeline for all security audit events.</v>
      </c>
      <c r="C282" t="s">
        <v>236</v>
      </c>
      <c r="D282">
        <v>129</v>
      </c>
      <c r="E282" t="s">
        <v>12</v>
      </c>
      <c r="F282" t="s">
        <v>9</v>
      </c>
      <c r="G282" t="s">
        <v>692</v>
      </c>
      <c r="H282" t="s">
        <v>404</v>
      </c>
    </row>
    <row r="283" spans="1:8" x14ac:dyDescent="0.25">
      <c r="A283" t="s">
        <v>100</v>
      </c>
      <c r="B283" t="str">
        <f>VLOOKUP(A283,IDE_ConOps_4_3_Model_LVL3!C:H,6,FALSE)</f>
        <v>The IDE Secure Platform shall enable 'Customer-Integrated Applications' to leverage Mandated Shared Services via adherence to the published IDE Interface Control Document (ICD).</v>
      </c>
      <c r="C283" t="s">
        <v>236</v>
      </c>
      <c r="D283">
        <v>130</v>
      </c>
      <c r="E283" t="s">
        <v>102</v>
      </c>
      <c r="F283" t="s">
        <v>9</v>
      </c>
      <c r="G283" t="s">
        <v>693</v>
      </c>
      <c r="H283" t="s">
        <v>996</v>
      </c>
    </row>
    <row r="284" spans="1:8" x14ac:dyDescent="0.25">
      <c r="A284" t="s">
        <v>10</v>
      </c>
      <c r="B284" t="str">
        <f>VLOOKUP(A284,IDE_ConOps_4_3_Model_LVL3!C:H,6,FALSE)</f>
        <v>The IDE shall provide a 'Centralized Logging and Monitoring' service as a consolidated pipeline for all security audit events.</v>
      </c>
      <c r="C284" t="s">
        <v>236</v>
      </c>
      <c r="D284">
        <v>131</v>
      </c>
      <c r="E284" t="s">
        <v>12</v>
      </c>
      <c r="F284" t="s">
        <v>9</v>
      </c>
      <c r="G284" t="s">
        <v>694</v>
      </c>
      <c r="H284" t="s">
        <v>393</v>
      </c>
    </row>
    <row r="285" spans="1:8" x14ac:dyDescent="0.25">
      <c r="A285" t="s">
        <v>125</v>
      </c>
      <c r="B285" t="str">
        <f>VLOOKUP(A285,IDE_ConOps_4_3_Model_LVL3!C:H,6,FALSE)</f>
        <v>The 'Consolidated Admin Interface' shall provide a module for managing user accounts.</v>
      </c>
      <c r="C285" t="s">
        <v>236</v>
      </c>
      <c r="D285">
        <v>132</v>
      </c>
      <c r="E285" t="s">
        <v>8</v>
      </c>
      <c r="F285" t="s">
        <v>9</v>
      </c>
      <c r="G285" t="s">
        <v>695</v>
      </c>
      <c r="H285" t="s">
        <v>696</v>
      </c>
    </row>
    <row r="286" spans="1:8" x14ac:dyDescent="0.25">
      <c r="A286" t="s">
        <v>239</v>
      </c>
      <c r="B286" t="str">
        <f>VLOOKUP(A286,IDE_ConOps_4_3_Model_LVL3!C:H,6,FALSE)</f>
        <v>The IDE shall provide a mandated shared service for 'Centralized Secrets Management' to support the secure storage of platform and application credentials.</v>
      </c>
      <c r="C286" t="s">
        <v>236</v>
      </c>
      <c r="D286">
        <v>133</v>
      </c>
      <c r="E286" t="s">
        <v>63</v>
      </c>
      <c r="F286" t="s">
        <v>9</v>
      </c>
      <c r="G286" t="s">
        <v>697</v>
      </c>
      <c r="H286" t="s">
        <v>657</v>
      </c>
    </row>
    <row r="287" spans="1:8" x14ac:dyDescent="0.25">
      <c r="A287" t="s">
        <v>10</v>
      </c>
      <c r="B287" t="str">
        <f>VLOOKUP(A287,IDE_ConOps_4_3_Model_LVL3!C:H,6,FALSE)</f>
        <v>The IDE shall provide a 'Centralized Logging and Monitoring' service as a consolidated pipeline for all security audit events.</v>
      </c>
      <c r="C287" t="s">
        <v>236</v>
      </c>
      <c r="D287">
        <v>134</v>
      </c>
      <c r="E287" t="s">
        <v>12</v>
      </c>
      <c r="F287" t="s">
        <v>9</v>
      </c>
      <c r="G287" t="s">
        <v>698</v>
      </c>
      <c r="H287" t="s">
        <v>996</v>
      </c>
    </row>
    <row r="288" spans="1:8" x14ac:dyDescent="0.25">
      <c r="A288" t="s">
        <v>250</v>
      </c>
      <c r="B288" t="str">
        <f>VLOOKUP(A288,IDE_ConOps_4_3_Model_LVL3!C:H,6,FALSE)</f>
        <v>The mandated shared 'Service Mesh' shall provide policy-driven traffic management.</v>
      </c>
      <c r="C288" t="s">
        <v>236</v>
      </c>
      <c r="D288">
        <v>135</v>
      </c>
      <c r="E288" t="s">
        <v>63</v>
      </c>
      <c r="F288" t="s">
        <v>9</v>
      </c>
      <c r="G288" t="s">
        <v>699</v>
      </c>
      <c r="H288" t="s">
        <v>996</v>
      </c>
    </row>
    <row r="289" spans="1:8" x14ac:dyDescent="0.25">
      <c r="A289" t="s">
        <v>242</v>
      </c>
      <c r="B289" t="str">
        <f>VLOOKUP(A289,IDE_ConOps_4_3_Model_LVL3!C:H,6,FALSE)</f>
        <v>The IDE shall provide a mandated shared 'Service Mesh' that provides service discovery.</v>
      </c>
      <c r="C289" t="s">
        <v>236</v>
      </c>
      <c r="D289">
        <v>136</v>
      </c>
      <c r="E289" t="s">
        <v>63</v>
      </c>
      <c r="F289" t="s">
        <v>9</v>
      </c>
      <c r="G289" t="s">
        <v>700</v>
      </c>
      <c r="H289" t="s">
        <v>996</v>
      </c>
    </row>
    <row r="290" spans="1:8" x14ac:dyDescent="0.25">
      <c r="A290" t="s">
        <v>271</v>
      </c>
      <c r="B290" t="str">
        <f>VLOOKUP(A290,IDE_ConOps_4_3_Model_LVL3!C:H,6,FALSE)</f>
        <v>The IDE shall provide an 'IT Infrastructure Agent (AIOps)' persona integrated with the Centralized Logging service to perform autonomous root cause analysis.</v>
      </c>
      <c r="C290" t="s">
        <v>236</v>
      </c>
      <c r="D290">
        <v>137</v>
      </c>
      <c r="E290" t="s">
        <v>273</v>
      </c>
      <c r="F290" t="s">
        <v>9</v>
      </c>
      <c r="G290" t="s">
        <v>701</v>
      </c>
      <c r="H290" t="s">
        <v>393</v>
      </c>
    </row>
    <row r="291" spans="1:8" x14ac:dyDescent="0.25">
      <c r="A291" t="s">
        <v>271</v>
      </c>
      <c r="B291" t="str">
        <f>VLOOKUP(A291,IDE_ConOps_4_3_Model_LVL3!C:H,6,FALSE)</f>
        <v>The IDE shall provide an 'IT Infrastructure Agent (AIOps)' persona integrated with the Centralized Logging service to perform autonomous root cause analysis.</v>
      </c>
      <c r="C291" t="s">
        <v>236</v>
      </c>
      <c r="D291">
        <v>138</v>
      </c>
      <c r="E291" t="s">
        <v>273</v>
      </c>
      <c r="F291" t="s">
        <v>9</v>
      </c>
      <c r="G291" t="s">
        <v>702</v>
      </c>
      <c r="H291" t="s">
        <v>393</v>
      </c>
    </row>
    <row r="292" spans="1:8" x14ac:dyDescent="0.25">
      <c r="A292" t="s">
        <v>241</v>
      </c>
      <c r="B292" t="str">
        <f>VLOOKUP(A292,IDE_ConOps_4_3_Model_LVL3!C:H,6,FALSE)</f>
        <v>The IDE shall provide a mandated shared service for 'Backup and Recovery' that performs automated, policy-based backups of the platform state and customer data.</v>
      </c>
      <c r="C292" t="s">
        <v>236</v>
      </c>
      <c r="D292">
        <v>139</v>
      </c>
      <c r="E292" t="s">
        <v>63</v>
      </c>
      <c r="F292" t="s">
        <v>9</v>
      </c>
      <c r="G292" t="s">
        <v>703</v>
      </c>
      <c r="H292" t="s">
        <v>704</v>
      </c>
    </row>
    <row r="293" spans="1:8" x14ac:dyDescent="0.25">
      <c r="A293" t="s">
        <v>241</v>
      </c>
      <c r="B293" t="str">
        <f>VLOOKUP(A293,IDE_ConOps_4_3_Model_LVL3!C:H,6,FALSE)</f>
        <v>The IDE shall provide a mandated shared service for 'Backup and Recovery' that performs automated, policy-based backups of the platform state and customer data.</v>
      </c>
      <c r="C293" t="s">
        <v>236</v>
      </c>
      <c r="D293">
        <v>140</v>
      </c>
      <c r="E293" t="s">
        <v>63</v>
      </c>
      <c r="F293" t="s">
        <v>9</v>
      </c>
      <c r="G293" t="s">
        <v>705</v>
      </c>
      <c r="H293" t="s">
        <v>431</v>
      </c>
    </row>
    <row r="294" spans="1:8" x14ac:dyDescent="0.25">
      <c r="A294" t="s">
        <v>241</v>
      </c>
      <c r="B294" t="str">
        <f>VLOOKUP(A294,IDE_ConOps_4_3_Model_LVL3!C:H,6,FALSE)</f>
        <v>The IDE shall provide a mandated shared service for 'Backup and Recovery' that performs automated, policy-based backups of the platform state and customer data.</v>
      </c>
      <c r="C294" t="s">
        <v>236</v>
      </c>
      <c r="D294">
        <v>141</v>
      </c>
      <c r="E294" t="s">
        <v>63</v>
      </c>
      <c r="F294" t="s">
        <v>9</v>
      </c>
      <c r="G294" t="s">
        <v>706</v>
      </c>
      <c r="H294" t="s">
        <v>415</v>
      </c>
    </row>
    <row r="295" spans="1:8" x14ac:dyDescent="0.25">
      <c r="A295" t="s">
        <v>50</v>
      </c>
      <c r="B295" t="str">
        <f>VLOOKUP(A295,IDE_ConOps_4_3_Model_LVL3!C:H,6,FALSE)</f>
        <v>The IDE shall provide a 'Centralized Health Dashboard' to display real-time health status, performance metrics, and Key Performance Indicators (KPIs) of all platform components.</v>
      </c>
      <c r="C295" t="s">
        <v>236</v>
      </c>
      <c r="D295">
        <v>142</v>
      </c>
      <c r="E295" t="s">
        <v>8</v>
      </c>
      <c r="F295" t="s">
        <v>9</v>
      </c>
      <c r="G295" t="s">
        <v>707</v>
      </c>
      <c r="H295" t="s">
        <v>996</v>
      </c>
    </row>
    <row r="296" spans="1:8" x14ac:dyDescent="0.25">
      <c r="A296" t="s">
        <v>47</v>
      </c>
      <c r="B296" t="str">
        <f>VLOOKUP(A296,IDE_ConOps_4_3_Model_LVL3!C:H,6,FALSE)</f>
        <v>The IDE shall provide a mandated shared service for Centralized Authentication and Authorization (SSO) that functions as an identity broker, connecting to a customer-provided Identity Provider (IdP).</v>
      </c>
      <c r="C296" t="s">
        <v>236</v>
      </c>
      <c r="D296">
        <v>143</v>
      </c>
      <c r="E296" t="s">
        <v>49</v>
      </c>
      <c r="F296" t="s">
        <v>9</v>
      </c>
      <c r="G296" t="s">
        <v>708</v>
      </c>
      <c r="H296" t="s">
        <v>654</v>
      </c>
    </row>
    <row r="297" spans="1:8" x14ac:dyDescent="0.25">
      <c r="A297" t="s">
        <v>239</v>
      </c>
      <c r="B297" t="str">
        <f>VLOOKUP(A297,IDE_ConOps_4_3_Model_LVL3!C:H,6,FALSE)</f>
        <v>The IDE shall provide a mandated shared service for 'Centralized Secrets Management' to support the secure storage of platform and application credentials.</v>
      </c>
      <c r="C297" t="s">
        <v>236</v>
      </c>
      <c r="D297">
        <v>144</v>
      </c>
      <c r="E297" t="s">
        <v>63</v>
      </c>
      <c r="F297" t="s">
        <v>9</v>
      </c>
      <c r="G297" t="s">
        <v>709</v>
      </c>
      <c r="H297" t="s">
        <v>657</v>
      </c>
    </row>
    <row r="298" spans="1:8" x14ac:dyDescent="0.25">
      <c r="A298" t="s">
        <v>240</v>
      </c>
      <c r="B298" t="str">
        <f>VLOOKUP(A298,IDE_ConOps_4_3_Model_LVL3!C:H,6,FALSE)</f>
        <v>The IDE shall provide a DoD DevSecOps compliant capability for Continuous Integration and Continuous Deployment (CI/CD).</v>
      </c>
      <c r="C298" t="s">
        <v>236</v>
      </c>
      <c r="D298">
        <v>145</v>
      </c>
      <c r="E298" t="s">
        <v>29</v>
      </c>
      <c r="F298" t="s">
        <v>9</v>
      </c>
      <c r="G298" t="s">
        <v>710</v>
      </c>
      <c r="H298" t="s">
        <v>404</v>
      </c>
    </row>
    <row r="299" spans="1:8" x14ac:dyDescent="0.25">
      <c r="A299" t="s">
        <v>10</v>
      </c>
      <c r="B299" t="str">
        <f>VLOOKUP(A299,IDE_ConOps_4_3_Model_LVL3!C:H,6,FALSE)</f>
        <v>The IDE shall provide a 'Centralized Logging and Monitoring' service as a consolidated pipeline for all security audit events.</v>
      </c>
      <c r="C299" t="s">
        <v>236</v>
      </c>
      <c r="D299">
        <v>146</v>
      </c>
      <c r="E299" t="s">
        <v>12</v>
      </c>
      <c r="F299" t="s">
        <v>9</v>
      </c>
      <c r="G299" t="s">
        <v>711</v>
      </c>
      <c r="H299" t="s">
        <v>696</v>
      </c>
    </row>
    <row r="300" spans="1:8" x14ac:dyDescent="0.25">
      <c r="A300" t="s">
        <v>152</v>
      </c>
      <c r="B300" t="str">
        <f>VLOOKUP(A300,IDE_ConOps_4_3_Model_LVL3!C:H,6,FALSE)</f>
        <v>The IDE shall provide a DoD DevSecOps compliant capability for Cyber Security Compliance (DAST) and container scanning.</v>
      </c>
      <c r="C300" t="s">
        <v>236</v>
      </c>
      <c r="D300">
        <v>147</v>
      </c>
      <c r="E300" t="s">
        <v>29</v>
      </c>
      <c r="F300" t="s">
        <v>9</v>
      </c>
      <c r="G300" t="s">
        <v>712</v>
      </c>
      <c r="H300" t="s">
        <v>713</v>
      </c>
    </row>
    <row r="301" spans="1:8" x14ac:dyDescent="0.25">
      <c r="A301" t="s">
        <v>237</v>
      </c>
      <c r="B301" t="str">
        <f>VLOOKUP(A301,IDE_ConOps_4_3_Model_LVL3!C:H,6,FALSE)</f>
        <v>The IDE shall provide a Kubernetes (K8s) orchestrator as the foundational platform for all containerized services and applications.</v>
      </c>
      <c r="C301" t="s">
        <v>236</v>
      </c>
      <c r="D301">
        <v>148</v>
      </c>
      <c r="E301" t="s">
        <v>238</v>
      </c>
      <c r="F301" t="s">
        <v>9</v>
      </c>
      <c r="G301" t="s">
        <v>714</v>
      </c>
      <c r="H301" t="s">
        <v>715</v>
      </c>
    </row>
    <row r="302" spans="1:8" x14ac:dyDescent="0.25">
      <c r="A302" t="s">
        <v>138</v>
      </c>
      <c r="B302" t="str">
        <f>VLOOKUP(A302,IDE_ConOps_4_3_Model_LVL3!C:H,6,FALSE)</f>
        <v>The IDE 'Secure Platform' and its 'Mandated Shared Services' shall provide &gt;= 99.99% availability.</v>
      </c>
      <c r="C302" t="s">
        <v>236</v>
      </c>
      <c r="D302">
        <v>149</v>
      </c>
      <c r="E302" t="s">
        <v>56</v>
      </c>
      <c r="F302" t="s">
        <v>18</v>
      </c>
      <c r="G302" t="s">
        <v>716</v>
      </c>
      <c r="H302" t="s">
        <v>996</v>
      </c>
    </row>
    <row r="303" spans="1:8" x14ac:dyDescent="0.25">
      <c r="A303" t="s">
        <v>240</v>
      </c>
      <c r="B303" t="str">
        <f>VLOOKUP(A303,IDE_ConOps_4_3_Model_LVL3!C:H,6,FALSE)</f>
        <v>The IDE shall provide a DoD DevSecOps compliant capability for Continuous Integration and Continuous Deployment (CI/CD).</v>
      </c>
      <c r="C303" t="s">
        <v>236</v>
      </c>
      <c r="D303">
        <v>150</v>
      </c>
      <c r="E303" t="s">
        <v>29</v>
      </c>
      <c r="F303" t="s">
        <v>9</v>
      </c>
      <c r="G303" t="s">
        <v>717</v>
      </c>
      <c r="H303" t="s">
        <v>404</v>
      </c>
    </row>
    <row r="304" spans="1:8" x14ac:dyDescent="0.25">
      <c r="A304" t="s">
        <v>287</v>
      </c>
      <c r="B304" t="str">
        <f>VLOOKUP(A304,IDE_ConOps_4_3_Model_LVL3!C:H,6,FALSE)</f>
        <v>The 'Cyber compliance evidence' package shall include security scan results (SAST, DAST, container scans).</v>
      </c>
      <c r="C304" t="s">
        <v>236</v>
      </c>
      <c r="D304">
        <v>151</v>
      </c>
      <c r="E304" t="s">
        <v>176</v>
      </c>
      <c r="F304" t="s">
        <v>9</v>
      </c>
      <c r="G304" t="s">
        <v>718</v>
      </c>
      <c r="H304" t="s">
        <v>996</v>
      </c>
    </row>
    <row r="305" spans="1:8" x14ac:dyDescent="0.25">
      <c r="A305" t="s">
        <v>289</v>
      </c>
      <c r="B305" t="str">
        <f>VLOOKUP(A305,IDE_ConOps_4_3_Model_LVL3!C:H,6,FALSE)</f>
        <v>The IDE shall provide a 'Local Security Dashboard' to allow the Local Program Cyber Engineer to review compliance status.</v>
      </c>
      <c r="C305" t="s">
        <v>236</v>
      </c>
      <c r="D305">
        <v>152</v>
      </c>
      <c r="E305" t="s">
        <v>291</v>
      </c>
      <c r="F305" t="s">
        <v>9</v>
      </c>
      <c r="G305" t="s">
        <v>719</v>
      </c>
      <c r="H305" t="s">
        <v>996</v>
      </c>
    </row>
    <row r="306" spans="1:8" x14ac:dyDescent="0.25">
      <c r="A306" t="s">
        <v>54</v>
      </c>
      <c r="B306" t="str">
        <f>VLOOKUP(A306,IDE_ConOps_4_3_Model_LVL3!C:H,6,FALSE)</f>
        <v>The 'Backup and Recovery' service shall provide an automated backup policy targeting a Recovery Point Objective (RPO) of &lt;= 24 hours for all 'Customer Data' in platform-managed persistent volumes.</v>
      </c>
      <c r="C306" t="s">
        <v>236</v>
      </c>
      <c r="D306">
        <v>153</v>
      </c>
      <c r="E306" t="s">
        <v>56</v>
      </c>
      <c r="F306" t="s">
        <v>9</v>
      </c>
      <c r="G306" t="s">
        <v>720</v>
      </c>
      <c r="H306" t="s">
        <v>412</v>
      </c>
    </row>
    <row r="307" spans="1:8" x14ac:dyDescent="0.25">
      <c r="A307" t="s">
        <v>132</v>
      </c>
      <c r="B307" t="str">
        <f>VLOOKUP(A307,IDE_ConOps_4_3_Model_LVL3!C:H,6,FALSE)</f>
        <v>The IDE shall complete the 'Platform Patching and Upgrades' scenario (Scenario 5.2.2), from execution of the upgrade command to operational readiness, in under one (1) hour.</v>
      </c>
      <c r="C307" t="s">
        <v>236</v>
      </c>
      <c r="D307">
        <v>154</v>
      </c>
      <c r="E307" t="s">
        <v>134</v>
      </c>
      <c r="F307" t="s">
        <v>9</v>
      </c>
      <c r="G307" t="s">
        <v>721</v>
      </c>
      <c r="H307" t="s">
        <v>996</v>
      </c>
    </row>
    <row r="308" spans="1:8" x14ac:dyDescent="0.25">
      <c r="A308" t="s">
        <v>215</v>
      </c>
      <c r="B308" t="str">
        <f>VLOOKUP(A308,IDE_ConOps_4_3_Model_LVL3!C:H,6,FALSE)</f>
        <v>The mandated shared 'Service Mesh' shall enforce zero-trust security via mutually authenticated mTLS for all service-to-service communication.</v>
      </c>
      <c r="C308" t="s">
        <v>236</v>
      </c>
      <c r="D308">
        <v>155</v>
      </c>
      <c r="E308" t="s">
        <v>63</v>
      </c>
      <c r="F308" t="s">
        <v>9</v>
      </c>
      <c r="G308" t="s">
        <v>722</v>
      </c>
      <c r="H308" t="s">
        <v>996</v>
      </c>
    </row>
    <row r="309" spans="1:8" x14ac:dyDescent="0.25">
      <c r="A309" t="s">
        <v>215</v>
      </c>
      <c r="B309" t="str">
        <f>VLOOKUP(A309,IDE_ConOps_4_3_Model_LVL3!C:H,6,FALSE)</f>
        <v>The mandated shared 'Service Mesh' shall enforce zero-trust security via mutually authenticated mTLS for all service-to-service communication.</v>
      </c>
      <c r="C309" t="s">
        <v>236</v>
      </c>
      <c r="D309">
        <v>156</v>
      </c>
      <c r="E309" t="s">
        <v>63</v>
      </c>
      <c r="F309" t="s">
        <v>9</v>
      </c>
      <c r="G309" t="s">
        <v>723</v>
      </c>
      <c r="H309" t="s">
        <v>715</v>
      </c>
    </row>
    <row r="310" spans="1:8" x14ac:dyDescent="0.25">
      <c r="A310" t="s">
        <v>215</v>
      </c>
      <c r="B310" t="str">
        <f>VLOOKUP(A310,IDE_ConOps_4_3_Model_LVL3!C:H,6,FALSE)</f>
        <v>The mandated shared 'Service Mesh' shall enforce zero-trust security via mutually authenticated mTLS for all service-to-service communication.</v>
      </c>
      <c r="C310" t="s">
        <v>236</v>
      </c>
      <c r="D310">
        <v>157</v>
      </c>
      <c r="E310" t="s">
        <v>63</v>
      </c>
      <c r="F310" t="s">
        <v>9</v>
      </c>
      <c r="G310" t="s">
        <v>724</v>
      </c>
      <c r="H310" t="s">
        <v>996</v>
      </c>
    </row>
    <row r="311" spans="1:8" x14ac:dyDescent="0.25">
      <c r="A311" t="s">
        <v>215</v>
      </c>
      <c r="B311" t="str">
        <f>VLOOKUP(A311,IDE_ConOps_4_3_Model_LVL3!C:H,6,FALSE)</f>
        <v>The mandated shared 'Service Mesh' shall enforce zero-trust security via mutually authenticated mTLS for all service-to-service communication.</v>
      </c>
      <c r="C311" t="s">
        <v>236</v>
      </c>
      <c r="D311">
        <v>158</v>
      </c>
      <c r="E311" t="s">
        <v>63</v>
      </c>
      <c r="F311" t="s">
        <v>9</v>
      </c>
      <c r="G311" t="s">
        <v>725</v>
      </c>
      <c r="H311" t="s">
        <v>996</v>
      </c>
    </row>
    <row r="312" spans="1:8" x14ac:dyDescent="0.25">
      <c r="A312" t="s">
        <v>47</v>
      </c>
      <c r="B312" t="str">
        <f>VLOOKUP(A312,IDE_ConOps_4_3_Model_LVL3!C:H,6,FALSE)</f>
        <v>The IDE shall provide a mandated shared service for Centralized Authentication and Authorization (SSO) that functions as an identity broker, connecting to a customer-provided Identity Provider (IdP).</v>
      </c>
      <c r="C312" t="s">
        <v>236</v>
      </c>
      <c r="D312">
        <v>159</v>
      </c>
      <c r="E312" t="s">
        <v>49</v>
      </c>
      <c r="F312" t="s">
        <v>9</v>
      </c>
      <c r="G312" t="s">
        <v>726</v>
      </c>
      <c r="H312" t="s">
        <v>727</v>
      </c>
    </row>
    <row r="313" spans="1:8" x14ac:dyDescent="0.25">
      <c r="A313" t="s">
        <v>47</v>
      </c>
      <c r="B313" t="str">
        <f>VLOOKUP(A313,IDE_ConOps_4_3_Model_LVL3!C:H,6,FALSE)</f>
        <v>The IDE shall provide a mandated shared service for Centralized Authentication and Authorization (SSO) that functions as an identity broker, connecting to a customer-provided Identity Provider (IdP).</v>
      </c>
      <c r="C313" t="s">
        <v>236</v>
      </c>
      <c r="D313">
        <v>160</v>
      </c>
      <c r="E313" t="s">
        <v>49</v>
      </c>
      <c r="F313" t="s">
        <v>9</v>
      </c>
      <c r="G313" t="s">
        <v>728</v>
      </c>
      <c r="H313" t="s">
        <v>727</v>
      </c>
    </row>
    <row r="314" spans="1:8" x14ac:dyDescent="0.25">
      <c r="A314" t="s">
        <v>180</v>
      </c>
      <c r="B314" t="str">
        <f>VLOOKUP(A314,IDE_ConOps_4_3_Model_LVL3!C:H,6,FALSE)</f>
        <v>The IDE platform shall be environment-agnostic, supporting deployment in on-premises, private cloud, public cloud, and fully air-gapped networks.</v>
      </c>
      <c r="C314" t="s">
        <v>236</v>
      </c>
      <c r="D314">
        <v>161</v>
      </c>
      <c r="E314" t="s">
        <v>182</v>
      </c>
      <c r="F314" t="s">
        <v>9</v>
      </c>
      <c r="G314" t="s">
        <v>729</v>
      </c>
      <c r="H314" t="s">
        <v>996</v>
      </c>
    </row>
    <row r="315" spans="1:8" x14ac:dyDescent="0.25">
      <c r="A315" t="s">
        <v>215</v>
      </c>
      <c r="B315" t="str">
        <f>VLOOKUP(A315,IDE_ConOps_4_3_Model_LVL3!C:H,6,FALSE)</f>
        <v>The mandated shared 'Service Mesh' shall enforce zero-trust security via mutually authenticated mTLS for all service-to-service communication.</v>
      </c>
      <c r="C315" t="s">
        <v>236</v>
      </c>
      <c r="D315">
        <v>162</v>
      </c>
      <c r="E315" t="s">
        <v>63</v>
      </c>
      <c r="F315" t="s">
        <v>9</v>
      </c>
      <c r="G315" t="s">
        <v>730</v>
      </c>
      <c r="H315" t="s">
        <v>996</v>
      </c>
    </row>
    <row r="316" spans="1:8" x14ac:dyDescent="0.25">
      <c r="A316" t="s">
        <v>180</v>
      </c>
      <c r="B316" t="str">
        <f>VLOOKUP(A316,IDE_ConOps_4_3_Model_LVL3!C:H,6,FALSE)</f>
        <v>The IDE platform shall be environment-agnostic, supporting deployment in on-premises, private cloud, public cloud, and fully air-gapped networks.</v>
      </c>
      <c r="C316" t="s">
        <v>236</v>
      </c>
      <c r="D316">
        <v>163</v>
      </c>
      <c r="E316" t="s">
        <v>182</v>
      </c>
      <c r="F316" t="s">
        <v>9</v>
      </c>
      <c r="G316" t="s">
        <v>731</v>
      </c>
      <c r="H316" t="s">
        <v>732</v>
      </c>
    </row>
    <row r="317" spans="1:8" x14ac:dyDescent="0.25">
      <c r="A317" t="s">
        <v>31</v>
      </c>
      <c r="B317" t="str">
        <f>VLOOKUP(A317,IDE_ConOps_4_3_Model_LVL3!C:H,6,FALSE)</f>
        <v>The IDE 'Secure Platform' and 'IDE Capability Layer' components shall be hardened to comply with NIST SP 800-53 (Rev 5).</v>
      </c>
      <c r="C317" t="s">
        <v>236</v>
      </c>
      <c r="D317">
        <v>164</v>
      </c>
      <c r="E317" t="s">
        <v>33</v>
      </c>
      <c r="F317" t="s">
        <v>9</v>
      </c>
      <c r="G317" t="s">
        <v>733</v>
      </c>
      <c r="H317" t="s">
        <v>404</v>
      </c>
    </row>
    <row r="318" spans="1:8" x14ac:dyDescent="0.25">
      <c r="A318" t="s">
        <v>31</v>
      </c>
      <c r="B318" t="str">
        <f>VLOOKUP(A318,IDE_ConOps_4_3_Model_LVL3!C:H,6,FALSE)</f>
        <v>The IDE 'Secure Platform' and 'IDE Capability Layer' components shall be hardened to comply with NIST SP 800-53 (Rev 5).</v>
      </c>
      <c r="C318" t="s">
        <v>236</v>
      </c>
      <c r="D318">
        <v>165</v>
      </c>
      <c r="E318" t="s">
        <v>33</v>
      </c>
      <c r="F318" t="s">
        <v>9</v>
      </c>
      <c r="G318" t="s">
        <v>734</v>
      </c>
      <c r="H318" t="s">
        <v>996</v>
      </c>
    </row>
    <row r="319" spans="1:8" x14ac:dyDescent="0.25">
      <c r="A319" t="s">
        <v>50</v>
      </c>
      <c r="B319" t="str">
        <f>VLOOKUP(A319,IDE_ConOps_4_3_Model_LVL3!C:H,6,FALSE)</f>
        <v>The IDE shall provide a 'Centralized Health Dashboard' to display real-time health status, performance metrics, and Key Performance Indicators (KPIs) of all platform components.</v>
      </c>
      <c r="C319" t="s">
        <v>236</v>
      </c>
      <c r="D319">
        <v>166</v>
      </c>
      <c r="E319" t="s">
        <v>8</v>
      </c>
      <c r="F319" t="s">
        <v>9</v>
      </c>
      <c r="G319" t="s">
        <v>735</v>
      </c>
      <c r="H319" t="s">
        <v>736</v>
      </c>
    </row>
    <row r="320" spans="1:8" x14ac:dyDescent="0.25">
      <c r="A320" t="s">
        <v>47</v>
      </c>
      <c r="B320" t="str">
        <f>VLOOKUP(A320,IDE_ConOps_4_3_Model_LVL3!C:H,6,FALSE)</f>
        <v>The IDE shall provide a mandated shared service for Centralized Authentication and Authorization (SSO) that functions as an identity broker, connecting to a customer-provided Identity Provider (IdP).</v>
      </c>
      <c r="C320" t="s">
        <v>236</v>
      </c>
      <c r="D320">
        <v>167</v>
      </c>
      <c r="E320" t="s">
        <v>49</v>
      </c>
      <c r="F320" t="s">
        <v>9</v>
      </c>
      <c r="G320" t="s">
        <v>737</v>
      </c>
      <c r="H320" t="s">
        <v>996</v>
      </c>
    </row>
    <row r="321" spans="1:8" x14ac:dyDescent="0.25">
      <c r="A321" t="s">
        <v>31</v>
      </c>
      <c r="B321" t="str">
        <f>VLOOKUP(A321,IDE_ConOps_4_3_Model_LVL3!C:H,6,FALSE)</f>
        <v>The IDE 'Secure Platform' and 'IDE Capability Layer' components shall be hardened to comply with NIST SP 800-53 (Rev 5).</v>
      </c>
      <c r="C321" t="s">
        <v>236</v>
      </c>
      <c r="D321">
        <v>168</v>
      </c>
      <c r="E321" t="s">
        <v>33</v>
      </c>
      <c r="F321" t="s">
        <v>9</v>
      </c>
      <c r="G321" t="s">
        <v>738</v>
      </c>
      <c r="H321" t="s">
        <v>739</v>
      </c>
    </row>
    <row r="322" spans="1:8" x14ac:dyDescent="0.25">
      <c r="A322" t="s">
        <v>253</v>
      </c>
      <c r="B322" t="str">
        <f>VLOOKUP(A322,IDE_ConOps_4_3_Model_LVL3!C:H,6,FALSE)</f>
        <v>The 'site deployment package' shall be a comprehensive, self-contained offline package suitable for air-gapped environment deployment.</v>
      </c>
      <c r="C322" t="s">
        <v>236</v>
      </c>
      <c r="D322">
        <v>169</v>
      </c>
      <c r="E322" t="s">
        <v>254</v>
      </c>
      <c r="F322" t="s">
        <v>9</v>
      </c>
      <c r="G322" t="s">
        <v>740</v>
      </c>
      <c r="H322" t="s">
        <v>996</v>
      </c>
    </row>
    <row r="323" spans="1:8" x14ac:dyDescent="0.25">
      <c r="A323" t="s">
        <v>204</v>
      </c>
      <c r="B323" t="str">
        <f>VLOOKUP(A323,IDE_ConOps_4_3_Model_LVL3!C:H,6,FALSE)</f>
        <v>The IDE 'Secure Platform' and 'IDE Capability Layer' components shall be configured to comply with NIST SP 800-53 (Rev 5).</v>
      </c>
      <c r="C323" t="s">
        <v>236</v>
      </c>
      <c r="D323">
        <v>170</v>
      </c>
      <c r="E323" t="s">
        <v>33</v>
      </c>
      <c r="F323" t="s">
        <v>9</v>
      </c>
      <c r="G323" t="s">
        <v>741</v>
      </c>
      <c r="H323" t="s">
        <v>742</v>
      </c>
    </row>
    <row r="324" spans="1:8" x14ac:dyDescent="0.25">
      <c r="A324" t="s">
        <v>10</v>
      </c>
      <c r="B324" t="str">
        <f>VLOOKUP(A324,IDE_ConOps_4_3_Model_LVL3!C:H,6,FALSE)</f>
        <v>The IDE shall provide a 'Centralized Logging and Monitoring' service as a consolidated pipeline for all security audit events.</v>
      </c>
      <c r="C324" t="s">
        <v>236</v>
      </c>
      <c r="D324">
        <v>171</v>
      </c>
      <c r="E324" t="s">
        <v>12</v>
      </c>
      <c r="F324" t="s">
        <v>9</v>
      </c>
      <c r="G324" t="s">
        <v>743</v>
      </c>
      <c r="H324" t="s">
        <v>744</v>
      </c>
    </row>
    <row r="325" spans="1:8" x14ac:dyDescent="0.25">
      <c r="A325" t="s">
        <v>215</v>
      </c>
      <c r="B325" t="str">
        <f>VLOOKUP(A325,IDE_ConOps_4_3_Model_LVL3!C:H,6,FALSE)</f>
        <v>The mandated shared 'Service Mesh' shall enforce zero-trust security via mutually authenticated mTLS for all service-to-service communication.</v>
      </c>
      <c r="C325" t="s">
        <v>236</v>
      </c>
      <c r="D325">
        <v>172</v>
      </c>
      <c r="E325" t="s">
        <v>63</v>
      </c>
      <c r="F325" t="s">
        <v>9</v>
      </c>
      <c r="G325" t="s">
        <v>745</v>
      </c>
      <c r="H325" t="s">
        <v>996</v>
      </c>
    </row>
    <row r="326" spans="1:8" x14ac:dyDescent="0.25">
      <c r="A326" t="s">
        <v>87</v>
      </c>
      <c r="B326" t="str">
        <f>VLOOKUP(A326,IDE_ConOps_4_3_Model_LVL3!C:H,6,FALSE)</f>
        <v>The IDE shall provide a 'Centralized Logging and Monitoring' service as a consolidated pipeline for all platform logs.</v>
      </c>
      <c r="C326" t="s">
        <v>236</v>
      </c>
      <c r="D326">
        <v>173</v>
      </c>
      <c r="E326" t="s">
        <v>12</v>
      </c>
      <c r="F326" t="s">
        <v>9</v>
      </c>
      <c r="G326" t="s">
        <v>746</v>
      </c>
      <c r="H326" t="s">
        <v>404</v>
      </c>
    </row>
    <row r="327" spans="1:8" x14ac:dyDescent="0.25">
      <c r="A327" t="s">
        <v>31</v>
      </c>
      <c r="B327" t="str">
        <f>VLOOKUP(A327,IDE_ConOps_4_3_Model_LVL3!C:H,6,FALSE)</f>
        <v>The IDE 'Secure Platform' and 'IDE Capability Layer' components shall be hardened to comply with NIST SP 800-53 (Rev 5).</v>
      </c>
      <c r="C327" t="s">
        <v>236</v>
      </c>
      <c r="D327">
        <v>174</v>
      </c>
      <c r="E327" t="s">
        <v>33</v>
      </c>
      <c r="F327" t="s">
        <v>9</v>
      </c>
      <c r="G327" t="s">
        <v>747</v>
      </c>
      <c r="H327" t="s">
        <v>404</v>
      </c>
    </row>
    <row r="328" spans="1:8" x14ac:dyDescent="0.25">
      <c r="A328" t="s">
        <v>287</v>
      </c>
      <c r="B328" t="str">
        <f>VLOOKUP(A328,IDE_ConOps_4_3_Model_LVL3!C:H,6,FALSE)</f>
        <v>The 'Cyber compliance evidence' package shall include security scan results (SAST, DAST, container scans).</v>
      </c>
      <c r="C328" t="s">
        <v>236</v>
      </c>
      <c r="D328">
        <v>175</v>
      </c>
      <c r="E328" t="s">
        <v>176</v>
      </c>
      <c r="F328" t="s">
        <v>9</v>
      </c>
      <c r="G328" t="s">
        <v>748</v>
      </c>
      <c r="H328" t="s">
        <v>996</v>
      </c>
    </row>
    <row r="329" spans="1:8" x14ac:dyDescent="0.25">
      <c r="A329" t="s">
        <v>100</v>
      </c>
      <c r="B329" t="str">
        <f>VLOOKUP(A329,IDE_ConOps_4_3_Model_LVL3!C:H,6,FALSE)</f>
        <v>The IDE Secure Platform shall enable 'Customer-Integrated Applications' to leverage Mandated Shared Services via adherence to the published IDE Interface Control Document (ICD).</v>
      </c>
      <c r="C329" t="s">
        <v>236</v>
      </c>
      <c r="D329">
        <v>176</v>
      </c>
      <c r="E329" t="s">
        <v>102</v>
      </c>
      <c r="F329" t="s">
        <v>9</v>
      </c>
      <c r="G329" t="s">
        <v>749</v>
      </c>
      <c r="H329" t="s">
        <v>996</v>
      </c>
    </row>
    <row r="330" spans="1:8" x14ac:dyDescent="0.25">
      <c r="A330" t="s">
        <v>47</v>
      </c>
      <c r="B330" t="str">
        <f>VLOOKUP(A330,IDE_ConOps_4_3_Model_LVL3!C:H,6,FALSE)</f>
        <v>The IDE shall provide a mandated shared service for Centralized Authentication and Authorization (SSO) that functions as an identity broker, connecting to a customer-provided Identity Provider (IdP).</v>
      </c>
      <c r="C330" t="s">
        <v>236</v>
      </c>
      <c r="D330">
        <v>177</v>
      </c>
      <c r="E330" t="s">
        <v>49</v>
      </c>
      <c r="F330" t="s">
        <v>9</v>
      </c>
      <c r="G330" t="s">
        <v>750</v>
      </c>
      <c r="H330" t="s">
        <v>657</v>
      </c>
    </row>
    <row r="331" spans="1:8" x14ac:dyDescent="0.25">
      <c r="A331" t="s">
        <v>47</v>
      </c>
      <c r="B331" t="str">
        <f>VLOOKUP(A331,IDE_ConOps_4_3_Model_LVL3!C:H,6,FALSE)</f>
        <v>The IDE shall provide a mandated shared service for Centralized Authentication and Authorization (SSO) that functions as an identity broker, connecting to a customer-provided Identity Provider (IdP).</v>
      </c>
      <c r="C331" t="s">
        <v>236</v>
      </c>
      <c r="D331">
        <v>178</v>
      </c>
      <c r="E331" t="s">
        <v>49</v>
      </c>
      <c r="F331" t="s">
        <v>9</v>
      </c>
      <c r="G331" t="s">
        <v>751</v>
      </c>
      <c r="H331" t="s">
        <v>996</v>
      </c>
    </row>
    <row r="332" spans="1:8" x14ac:dyDescent="0.25">
      <c r="A332" t="s">
        <v>47</v>
      </c>
      <c r="B332" t="str">
        <f>VLOOKUP(A332,IDE_ConOps_4_3_Model_LVL3!C:H,6,FALSE)</f>
        <v>The IDE shall provide a mandated shared service for Centralized Authentication and Authorization (SSO) that functions as an identity broker, connecting to a customer-provided Identity Provider (IdP).</v>
      </c>
      <c r="C332" t="s">
        <v>236</v>
      </c>
      <c r="D332">
        <v>179</v>
      </c>
      <c r="E332" t="s">
        <v>49</v>
      </c>
      <c r="F332" t="s">
        <v>9</v>
      </c>
      <c r="G332" t="s">
        <v>752</v>
      </c>
      <c r="H332" t="s">
        <v>727</v>
      </c>
    </row>
    <row r="333" spans="1:8" x14ac:dyDescent="0.25">
      <c r="A333" t="s">
        <v>47</v>
      </c>
      <c r="B333" t="str">
        <f>VLOOKUP(A333,IDE_ConOps_4_3_Model_LVL3!C:H,6,FALSE)</f>
        <v>The IDE shall provide a mandated shared service for Centralized Authentication and Authorization (SSO) that functions as an identity broker, connecting to a customer-provided Identity Provider (IdP).</v>
      </c>
      <c r="C333" t="s">
        <v>236</v>
      </c>
      <c r="D333">
        <v>180</v>
      </c>
      <c r="E333" t="s">
        <v>49</v>
      </c>
      <c r="F333" t="s">
        <v>9</v>
      </c>
      <c r="G333" t="s">
        <v>753</v>
      </c>
      <c r="H333" t="s">
        <v>754</v>
      </c>
    </row>
    <row r="334" spans="1:8" x14ac:dyDescent="0.25">
      <c r="A334" t="s">
        <v>13</v>
      </c>
      <c r="B334" t="str">
        <f>VLOOKUP(A334,IDE_ConOps_4_3_Model_LVL3!C:H,6,FALSE)</f>
        <v>The 'Consolidated Admin Interface' shall provide a module for managing platform-level access permissions.</v>
      </c>
      <c r="C334" t="s">
        <v>236</v>
      </c>
      <c r="D334">
        <v>181</v>
      </c>
      <c r="E334" t="s">
        <v>8</v>
      </c>
      <c r="F334" t="s">
        <v>9</v>
      </c>
      <c r="G334" t="s">
        <v>755</v>
      </c>
      <c r="H334" t="s">
        <v>996</v>
      </c>
    </row>
    <row r="335" spans="1:8" x14ac:dyDescent="0.25">
      <c r="A335" t="s">
        <v>204</v>
      </c>
      <c r="B335" t="str">
        <f>VLOOKUP(A335,IDE_ConOps_4_3_Model_LVL3!C:H,6,FALSE)</f>
        <v>The IDE 'Secure Platform' and 'IDE Capability Layer' components shall be configured to comply with NIST SP 800-53 (Rev 5).</v>
      </c>
      <c r="C335" t="s">
        <v>236</v>
      </c>
      <c r="D335">
        <v>182</v>
      </c>
      <c r="E335" t="s">
        <v>33</v>
      </c>
      <c r="F335" t="s">
        <v>9</v>
      </c>
      <c r="G335" t="s">
        <v>756</v>
      </c>
      <c r="H335" t="s">
        <v>996</v>
      </c>
    </row>
    <row r="336" spans="1:8" x14ac:dyDescent="0.25">
      <c r="A336" t="s">
        <v>215</v>
      </c>
      <c r="B336" t="str">
        <f>VLOOKUP(A336,IDE_ConOps_4_3_Model_LVL3!C:H,6,FALSE)</f>
        <v>The mandated shared 'Service Mesh' shall enforce zero-trust security via mutually authenticated mTLS for all service-to-service communication.</v>
      </c>
      <c r="C336" t="s">
        <v>236</v>
      </c>
      <c r="D336">
        <v>183</v>
      </c>
      <c r="E336" t="s">
        <v>63</v>
      </c>
      <c r="F336" t="s">
        <v>9</v>
      </c>
      <c r="G336" t="s">
        <v>757</v>
      </c>
      <c r="H336" t="s">
        <v>996</v>
      </c>
    </row>
    <row r="337" spans="1:8" x14ac:dyDescent="0.25">
      <c r="A337" t="s">
        <v>125</v>
      </c>
      <c r="B337" t="str">
        <f>VLOOKUP(A337,IDE_ConOps_4_3_Model_LVL3!C:H,6,FALSE)</f>
        <v>The 'Consolidated Admin Interface' shall provide a module for managing user accounts.</v>
      </c>
      <c r="C337" t="s">
        <v>236</v>
      </c>
      <c r="D337">
        <v>184</v>
      </c>
      <c r="E337" t="s">
        <v>8</v>
      </c>
      <c r="F337" t="s">
        <v>9</v>
      </c>
      <c r="G337" t="s">
        <v>758</v>
      </c>
      <c r="H337" t="s">
        <v>996</v>
      </c>
    </row>
    <row r="338" spans="1:8" x14ac:dyDescent="0.25">
      <c r="A338" t="s">
        <v>177</v>
      </c>
      <c r="B338" t="str">
        <f>VLOOKUP(A338,IDE_ConOps_4_3_Model_LVL3!C:H,6,FALSE)</f>
        <v>The IDE shall include a formal, version-controlled Interface Control Document (ICD) as a core product deliverable that defines the technical and security 'contract' for integrating customer applications.</v>
      </c>
      <c r="C338" t="s">
        <v>236</v>
      </c>
      <c r="D338">
        <v>185</v>
      </c>
      <c r="E338" t="s">
        <v>102</v>
      </c>
      <c r="F338" t="s">
        <v>9</v>
      </c>
      <c r="G338" t="s">
        <v>759</v>
      </c>
      <c r="H338" t="s">
        <v>404</v>
      </c>
    </row>
    <row r="339" spans="1:8" x14ac:dyDescent="0.25">
      <c r="A339" t="s">
        <v>325</v>
      </c>
      <c r="B339" t="str">
        <f>VLOOKUP(A339,IDE_ConOps_4_3_Model_LVL3!C:H,6,FALSE)</f>
        <v>The IDE shall provide a 'Cyber compliance evidence' package (Body of Evidence) to support customer ATO inheritance.</v>
      </c>
      <c r="C339" t="s">
        <v>236</v>
      </c>
      <c r="D339">
        <v>186</v>
      </c>
      <c r="E339" t="s">
        <v>176</v>
      </c>
      <c r="F339" t="s">
        <v>9</v>
      </c>
      <c r="G339" t="s">
        <v>760</v>
      </c>
      <c r="H339" t="s">
        <v>996</v>
      </c>
    </row>
    <row r="340" spans="1:8" x14ac:dyDescent="0.25">
      <c r="A340" t="s">
        <v>325</v>
      </c>
      <c r="B340" t="str">
        <f>VLOOKUP(A340,IDE_ConOps_4_3_Model_LVL3!C:H,6,FALSE)</f>
        <v>The IDE shall provide a 'Cyber compliance evidence' package (Body of Evidence) to support customer ATO inheritance.</v>
      </c>
      <c r="C340" t="s">
        <v>236</v>
      </c>
      <c r="D340">
        <v>187</v>
      </c>
      <c r="E340" t="s">
        <v>176</v>
      </c>
      <c r="F340" t="s">
        <v>9</v>
      </c>
      <c r="G340" t="s">
        <v>761</v>
      </c>
      <c r="H340" t="s">
        <v>996</v>
      </c>
    </row>
    <row r="341" spans="1:8" x14ac:dyDescent="0.25">
      <c r="A341" t="s">
        <v>325</v>
      </c>
      <c r="B341" t="str">
        <f>VLOOKUP(A341,IDE_ConOps_4_3_Model_LVL3!C:H,6,FALSE)</f>
        <v>The IDE shall provide a 'Cyber compliance evidence' package (Body of Evidence) to support customer ATO inheritance.</v>
      </c>
      <c r="C341" t="s">
        <v>236</v>
      </c>
      <c r="D341">
        <v>188</v>
      </c>
      <c r="E341" t="s">
        <v>176</v>
      </c>
      <c r="F341" t="s">
        <v>9</v>
      </c>
      <c r="G341" t="s">
        <v>762</v>
      </c>
      <c r="H341" t="s">
        <v>996</v>
      </c>
    </row>
    <row r="342" spans="1:8" x14ac:dyDescent="0.25">
      <c r="A342" t="s">
        <v>227</v>
      </c>
      <c r="B342" t="str">
        <f>VLOOKUP(A342,IDE_ConOps_4_3_Model_LVL3!C:H,6,FALSE)</f>
        <v>The IDE baseline shall be maintained under a formal Continuous Authorization to Operate (cATO) process, enabled by a provider-side DevSecOps pipeline and customer-side Continuous Monitoring (CONMON).</v>
      </c>
      <c r="C342" t="s">
        <v>236</v>
      </c>
      <c r="D342">
        <v>189</v>
      </c>
      <c r="E342" t="s">
        <v>229</v>
      </c>
      <c r="F342" t="s">
        <v>9</v>
      </c>
      <c r="G342" t="s">
        <v>763</v>
      </c>
      <c r="H342" t="s">
        <v>996</v>
      </c>
    </row>
    <row r="343" spans="1:8" x14ac:dyDescent="0.25">
      <c r="A343" t="s">
        <v>325</v>
      </c>
      <c r="B343" t="str">
        <f>VLOOKUP(A343,IDE_ConOps_4_3_Model_LVL3!C:H,6,FALSE)</f>
        <v>The IDE shall provide a 'Cyber compliance evidence' package (Body of Evidence) to support customer ATO inheritance.</v>
      </c>
      <c r="C343" t="s">
        <v>236</v>
      </c>
      <c r="D343">
        <v>190</v>
      </c>
      <c r="E343" t="s">
        <v>176</v>
      </c>
      <c r="F343" t="s">
        <v>9</v>
      </c>
      <c r="G343" t="s">
        <v>764</v>
      </c>
      <c r="H343" t="s">
        <v>996</v>
      </c>
    </row>
    <row r="344" spans="1:8" x14ac:dyDescent="0.25">
      <c r="A344" t="s">
        <v>325</v>
      </c>
      <c r="B344" t="str">
        <f>VLOOKUP(A344,IDE_ConOps_4_3_Model_LVL3!C:H,6,FALSE)</f>
        <v>The IDE shall provide a 'Cyber compliance evidence' package (Body of Evidence) to support customer ATO inheritance.</v>
      </c>
      <c r="C344" t="s">
        <v>236</v>
      </c>
      <c r="D344">
        <v>191</v>
      </c>
      <c r="E344" t="s">
        <v>176</v>
      </c>
      <c r="F344" t="s">
        <v>9</v>
      </c>
      <c r="G344" t="s">
        <v>765</v>
      </c>
      <c r="H344" t="s">
        <v>996</v>
      </c>
    </row>
    <row r="345" spans="1:8" x14ac:dyDescent="0.25">
      <c r="A345" t="s">
        <v>325</v>
      </c>
      <c r="B345" t="str">
        <f>VLOOKUP(A345,IDE_ConOps_4_3_Model_LVL3!C:H,6,FALSE)</f>
        <v>The IDE shall provide a 'Cyber compliance evidence' package (Body of Evidence) to support customer ATO inheritance.</v>
      </c>
      <c r="C345" t="s">
        <v>236</v>
      </c>
      <c r="D345">
        <v>192</v>
      </c>
      <c r="E345" t="s">
        <v>176</v>
      </c>
      <c r="F345" t="s">
        <v>9</v>
      </c>
      <c r="G345" t="s">
        <v>766</v>
      </c>
      <c r="H345" t="s">
        <v>996</v>
      </c>
    </row>
    <row r="346" spans="1:8" x14ac:dyDescent="0.25">
      <c r="A346" t="s">
        <v>325</v>
      </c>
      <c r="B346" t="str">
        <f>VLOOKUP(A346,IDE_ConOps_4_3_Model_LVL3!C:H,6,FALSE)</f>
        <v>The IDE shall provide a 'Cyber compliance evidence' package (Body of Evidence) to support customer ATO inheritance.</v>
      </c>
      <c r="C346" t="s">
        <v>236</v>
      </c>
      <c r="D346">
        <v>193</v>
      </c>
      <c r="E346" t="s">
        <v>176</v>
      </c>
      <c r="F346" t="s">
        <v>9</v>
      </c>
      <c r="G346" t="s">
        <v>767</v>
      </c>
      <c r="H346" t="s">
        <v>996</v>
      </c>
    </row>
    <row r="347" spans="1:8" x14ac:dyDescent="0.25">
      <c r="A347" t="s">
        <v>334</v>
      </c>
      <c r="B347" t="str">
        <f>VLOOKUP(A347,IDE_ConOps_4_3_Model_LVL3!C:H,6,FALSE)</f>
        <v>The IDE shall integrate the Software Factory capabilities with the Mandated Shared Service for Centralized Authorization (RBAC).</v>
      </c>
      <c r="C347" t="s">
        <v>236</v>
      </c>
      <c r="D347">
        <v>194</v>
      </c>
      <c r="E347" t="s">
        <v>336</v>
      </c>
      <c r="F347" t="s">
        <v>9</v>
      </c>
      <c r="G347" t="s">
        <v>768</v>
      </c>
      <c r="H347" t="s">
        <v>409</v>
      </c>
    </row>
    <row r="348" spans="1:8" x14ac:dyDescent="0.25">
      <c r="A348" t="s">
        <v>13</v>
      </c>
      <c r="B348" t="str">
        <f>VLOOKUP(A348,IDE_ConOps_4_3_Model_LVL3!C:H,6,FALSE)</f>
        <v>The 'Consolidated Admin Interface' shall provide a module for managing platform-level access permissions.</v>
      </c>
      <c r="C348" t="s">
        <v>236</v>
      </c>
      <c r="D348">
        <v>195</v>
      </c>
      <c r="E348" t="s">
        <v>8</v>
      </c>
      <c r="F348" t="s">
        <v>9</v>
      </c>
      <c r="G348" t="s">
        <v>769</v>
      </c>
      <c r="H348" t="s">
        <v>696</v>
      </c>
    </row>
    <row r="349" spans="1:8" x14ac:dyDescent="0.25">
      <c r="A349" t="s">
        <v>13</v>
      </c>
      <c r="B349" t="str">
        <f>VLOOKUP(A349,IDE_ConOps_4_3_Model_LVL3!C:H,6,FALSE)</f>
        <v>The 'Consolidated Admin Interface' shall provide a module for managing platform-level access permissions.</v>
      </c>
      <c r="C349" t="s">
        <v>236</v>
      </c>
      <c r="D349">
        <v>196</v>
      </c>
      <c r="E349" t="s">
        <v>8</v>
      </c>
      <c r="F349" t="s">
        <v>9</v>
      </c>
      <c r="G349" t="s">
        <v>770</v>
      </c>
      <c r="H349" t="s">
        <v>696</v>
      </c>
    </row>
    <row r="350" spans="1:8" x14ac:dyDescent="0.25">
      <c r="A350" t="s">
        <v>13</v>
      </c>
      <c r="B350" t="str">
        <f>VLOOKUP(A350,IDE_ConOps_4_3_Model_LVL3!C:H,6,FALSE)</f>
        <v>The 'Consolidated Admin Interface' shall provide a module for managing platform-level access permissions.</v>
      </c>
      <c r="C350" t="s">
        <v>236</v>
      </c>
      <c r="D350">
        <v>197</v>
      </c>
      <c r="E350" t="s">
        <v>8</v>
      </c>
      <c r="F350" t="s">
        <v>9</v>
      </c>
      <c r="G350" t="s">
        <v>771</v>
      </c>
      <c r="H350" t="s">
        <v>696</v>
      </c>
    </row>
    <row r="351" spans="1:8" x14ac:dyDescent="0.25">
      <c r="A351" t="s">
        <v>13</v>
      </c>
      <c r="B351" t="str">
        <f>VLOOKUP(A351,IDE_ConOps_4_3_Model_LVL3!C:H,6,FALSE)</f>
        <v>The 'Consolidated Admin Interface' shall provide a module for managing platform-level access permissions.</v>
      </c>
      <c r="C351" t="s">
        <v>236</v>
      </c>
      <c r="D351">
        <v>198</v>
      </c>
      <c r="E351" t="s">
        <v>8</v>
      </c>
      <c r="F351" t="s">
        <v>9</v>
      </c>
      <c r="G351" t="s">
        <v>772</v>
      </c>
      <c r="H351" t="s">
        <v>696</v>
      </c>
    </row>
    <row r="352" spans="1:8" x14ac:dyDescent="0.25">
      <c r="A352" t="s">
        <v>13</v>
      </c>
      <c r="B352" t="str">
        <f>VLOOKUP(A352,IDE_ConOps_4_3_Model_LVL3!C:H,6,FALSE)</f>
        <v>The 'Consolidated Admin Interface' shall provide a module for managing platform-level access permissions.</v>
      </c>
      <c r="C352" t="s">
        <v>236</v>
      </c>
      <c r="D352">
        <v>199</v>
      </c>
      <c r="E352" t="s">
        <v>8</v>
      </c>
      <c r="F352" t="s">
        <v>9</v>
      </c>
      <c r="G352" t="s">
        <v>773</v>
      </c>
      <c r="H352" t="s">
        <v>696</v>
      </c>
    </row>
    <row r="353" spans="1:8" x14ac:dyDescent="0.25">
      <c r="A353" t="s">
        <v>145</v>
      </c>
      <c r="B353" t="str">
        <f>VLOOKUP(A353,IDE_ConOps_4_3_Model_LVL3!C:H,6,FALSE)</f>
        <v>The 'Consolidated Admin Interface' shall provide a module for managing user roles.</v>
      </c>
      <c r="C353" t="s">
        <v>236</v>
      </c>
      <c r="D353">
        <v>200</v>
      </c>
      <c r="E353" t="s">
        <v>8</v>
      </c>
      <c r="F353" t="s">
        <v>9</v>
      </c>
      <c r="G353" t="s">
        <v>774</v>
      </c>
      <c r="H353" t="s">
        <v>696</v>
      </c>
    </row>
    <row r="354" spans="1:8" x14ac:dyDescent="0.25">
      <c r="A354" t="s">
        <v>247</v>
      </c>
      <c r="B354" t="str">
        <f>VLOOKUP(A354,IDE_ConOps_4_3_Model_LVL3!C:H,6,FALSE)</f>
        <v>The IDE shall provide a mandated shared service for 'In-Cluster VM Management' to orchestrate non-containerized workloads as virtual machines within the cluster.</v>
      </c>
      <c r="C354" t="s">
        <v>236</v>
      </c>
      <c r="D354">
        <v>201</v>
      </c>
      <c r="E354" t="s">
        <v>63</v>
      </c>
      <c r="F354" t="s">
        <v>9</v>
      </c>
      <c r="G354" t="s">
        <v>775</v>
      </c>
      <c r="H354" t="s">
        <v>696</v>
      </c>
    </row>
    <row r="355" spans="1:8" x14ac:dyDescent="0.25">
      <c r="A355" t="s">
        <v>13</v>
      </c>
      <c r="B355" t="str">
        <f>VLOOKUP(A355,IDE_ConOps_4_3_Model_LVL3!C:H,6,FALSE)</f>
        <v>The 'Consolidated Admin Interface' shall provide a module for managing platform-level access permissions.</v>
      </c>
      <c r="C355" t="s">
        <v>236</v>
      </c>
      <c r="D355">
        <v>202</v>
      </c>
      <c r="E355" t="s">
        <v>8</v>
      </c>
      <c r="F355" t="s">
        <v>9</v>
      </c>
      <c r="G355" t="s">
        <v>776</v>
      </c>
      <c r="H355" t="s">
        <v>696</v>
      </c>
    </row>
    <row r="356" spans="1:8" x14ac:dyDescent="0.25">
      <c r="A356" t="s">
        <v>13</v>
      </c>
      <c r="B356" t="str">
        <f>VLOOKUP(A356,IDE_ConOps_4_3_Model_LVL3!C:H,6,FALSE)</f>
        <v>The 'Consolidated Admin Interface' shall provide a module for managing platform-level access permissions.</v>
      </c>
      <c r="C356" t="s">
        <v>236</v>
      </c>
      <c r="D356">
        <v>203</v>
      </c>
      <c r="E356" t="s">
        <v>8</v>
      </c>
      <c r="F356" t="s">
        <v>9</v>
      </c>
      <c r="G356" t="s">
        <v>777</v>
      </c>
      <c r="H356" t="s">
        <v>696</v>
      </c>
    </row>
    <row r="357" spans="1:8" x14ac:dyDescent="0.25">
      <c r="A357" t="s">
        <v>145</v>
      </c>
      <c r="B357" t="str">
        <f>VLOOKUP(A357,IDE_ConOps_4_3_Model_LVL3!C:H,6,FALSE)</f>
        <v>The 'Consolidated Admin Interface' shall provide a module for managing user roles.</v>
      </c>
      <c r="C357" t="s">
        <v>236</v>
      </c>
      <c r="D357">
        <v>204</v>
      </c>
      <c r="E357" t="s">
        <v>8</v>
      </c>
      <c r="F357" t="s">
        <v>9</v>
      </c>
      <c r="G357" t="s">
        <v>778</v>
      </c>
      <c r="H357" t="s">
        <v>996</v>
      </c>
    </row>
    <row r="358" spans="1:8" x14ac:dyDescent="0.25">
      <c r="A358" t="s">
        <v>31</v>
      </c>
      <c r="B358" t="str">
        <f>VLOOKUP(A358,IDE_ConOps_4_3_Model_LVL3!C:H,6,FALSE)</f>
        <v>The IDE 'Secure Platform' and 'IDE Capability Layer' components shall be hardened to comply with NIST SP 800-53 (Rev 5).</v>
      </c>
      <c r="C358" t="s">
        <v>236</v>
      </c>
      <c r="D358">
        <v>205</v>
      </c>
      <c r="E358" t="s">
        <v>33</v>
      </c>
      <c r="F358" t="s">
        <v>9</v>
      </c>
      <c r="G358" t="s">
        <v>779</v>
      </c>
      <c r="H358" t="s">
        <v>996</v>
      </c>
    </row>
    <row r="359" spans="1:8" x14ac:dyDescent="0.25">
      <c r="A359" t="s">
        <v>259</v>
      </c>
      <c r="B359" t="str">
        <f>VLOOKUP(A359,IDE_ConOps_4_3_Model_LVL3!C:H,6,FALSE)</f>
        <v>The IDE shall integrate all 'Centralized Secrets Management' access and management actions with the 'Centralized Logging' service to ensure all actions are auditable.</v>
      </c>
      <c r="C359" t="s">
        <v>236</v>
      </c>
      <c r="D359">
        <v>206</v>
      </c>
      <c r="E359" t="s">
        <v>63</v>
      </c>
      <c r="F359" t="s">
        <v>9</v>
      </c>
      <c r="G359" t="s">
        <v>780</v>
      </c>
      <c r="H359" t="s">
        <v>781</v>
      </c>
    </row>
    <row r="360" spans="1:8" x14ac:dyDescent="0.25">
      <c r="A360" t="s">
        <v>349</v>
      </c>
      <c r="B360" t="str">
        <f>VLOOKUP(A360,IDE_ConOps_4_3_Model_LVL3!C:H,6,FALSE)</f>
        <v>The IDE Interface Control Document (ICD) shall define the programmatic API for the 'Centralized Secrets Management' service to enable 'Customer-Integrated Applications' to securely access credentials.</v>
      </c>
      <c r="C360" t="s">
        <v>236</v>
      </c>
      <c r="D360">
        <v>207</v>
      </c>
      <c r="E360" t="s">
        <v>102</v>
      </c>
      <c r="F360" t="s">
        <v>9</v>
      </c>
      <c r="G360" t="s">
        <v>782</v>
      </c>
      <c r="H360" t="s">
        <v>657</v>
      </c>
    </row>
    <row r="361" spans="1:8" x14ac:dyDescent="0.25">
      <c r="A361" t="s">
        <v>177</v>
      </c>
      <c r="B361" t="str">
        <f>VLOOKUP(A361,IDE_ConOps_4_3_Model_LVL3!C:H,6,FALSE)</f>
        <v>The IDE shall include a formal, version-controlled Interface Control Document (ICD) as a core product deliverable that defines the technical and security 'contract' for integrating customer applications.</v>
      </c>
      <c r="C361" t="s">
        <v>236</v>
      </c>
      <c r="D361">
        <v>208</v>
      </c>
      <c r="E361" t="s">
        <v>102</v>
      </c>
      <c r="F361" t="s">
        <v>9</v>
      </c>
      <c r="G361" t="s">
        <v>783</v>
      </c>
      <c r="H361" t="s">
        <v>696</v>
      </c>
    </row>
    <row r="362" spans="1:8" x14ac:dyDescent="0.25">
      <c r="A362" t="s">
        <v>100</v>
      </c>
      <c r="B362" t="str">
        <f>VLOOKUP(A362,IDE_ConOps_4_3_Model_LVL3!C:H,6,FALSE)</f>
        <v>The IDE Secure Platform shall enable 'Customer-Integrated Applications' to leverage Mandated Shared Services via adherence to the published IDE Interface Control Document (ICD).</v>
      </c>
      <c r="C362" t="s">
        <v>236</v>
      </c>
      <c r="D362">
        <v>209</v>
      </c>
      <c r="E362" t="s">
        <v>102</v>
      </c>
      <c r="F362" t="s">
        <v>9</v>
      </c>
      <c r="G362" t="s">
        <v>784</v>
      </c>
      <c r="H362" t="s">
        <v>996</v>
      </c>
    </row>
    <row r="363" spans="1:8" x14ac:dyDescent="0.25">
      <c r="A363" t="s">
        <v>237</v>
      </c>
      <c r="B363" t="str">
        <f>VLOOKUP(A363,IDE_ConOps_4_3_Model_LVL3!C:H,6,FALSE)</f>
        <v>The IDE shall provide a Kubernetes (K8s) orchestrator as the foundational platform for all containerized services and applications.</v>
      </c>
      <c r="C363" t="s">
        <v>236</v>
      </c>
      <c r="D363">
        <v>210</v>
      </c>
      <c r="E363" t="s">
        <v>238</v>
      </c>
      <c r="F363" t="s">
        <v>9</v>
      </c>
      <c r="G363" t="s">
        <v>785</v>
      </c>
      <c r="H363" t="s">
        <v>996</v>
      </c>
    </row>
    <row r="364" spans="1:8" x14ac:dyDescent="0.25">
      <c r="A364" t="s">
        <v>152</v>
      </c>
      <c r="B364" t="str">
        <f>VLOOKUP(A364,IDE_ConOps_4_3_Model_LVL3!C:H,6,FALSE)</f>
        <v>The IDE shall provide a DoD DevSecOps compliant capability for Cyber Security Compliance (DAST) and container scanning.</v>
      </c>
      <c r="C364" t="s">
        <v>236</v>
      </c>
      <c r="D364">
        <v>211</v>
      </c>
      <c r="E364" t="s">
        <v>29</v>
      </c>
      <c r="F364" t="s">
        <v>9</v>
      </c>
      <c r="G364" t="s">
        <v>786</v>
      </c>
      <c r="H364" t="s">
        <v>996</v>
      </c>
    </row>
    <row r="365" spans="1:8" x14ac:dyDescent="0.25">
      <c r="A365" t="s">
        <v>252</v>
      </c>
      <c r="B365" t="str">
        <f>VLOOKUP(A365,IDE_ConOps_4_3_Model_LVL3!C:H,6,FALSE)</f>
        <v>The IDE shall provide a DoD DevSecOps compliant capability for artifact binary control.</v>
      </c>
      <c r="C365" t="s">
        <v>236</v>
      </c>
      <c r="D365">
        <v>212</v>
      </c>
      <c r="E365" t="s">
        <v>29</v>
      </c>
      <c r="F365" t="s">
        <v>9</v>
      </c>
      <c r="G365" t="s">
        <v>787</v>
      </c>
      <c r="H365" t="s">
        <v>996</v>
      </c>
    </row>
    <row r="366" spans="1:8" x14ac:dyDescent="0.25">
      <c r="A366" t="s">
        <v>356</v>
      </c>
      <c r="B366" t="str">
        <f>VLOOKUP(A366,IDE_ConOps_4_3_Model_LVL3!C:H,6,FALSE)</f>
        <v>The 'site deployment package' shall include the installation and update scripts.</v>
      </c>
      <c r="C366" t="s">
        <v>236</v>
      </c>
      <c r="D366">
        <v>213</v>
      </c>
      <c r="E366" t="s">
        <v>245</v>
      </c>
      <c r="F366" t="s">
        <v>9</v>
      </c>
      <c r="G366" t="s">
        <v>788</v>
      </c>
      <c r="H366" t="s">
        <v>996</v>
      </c>
    </row>
    <row r="367" spans="1:8" x14ac:dyDescent="0.25">
      <c r="A367" t="s">
        <v>10</v>
      </c>
      <c r="B367" t="str">
        <f>VLOOKUP(A367,IDE_ConOps_4_3_Model_LVL3!C:H,6,FALSE)</f>
        <v>The IDE shall provide a 'Centralized Logging and Monitoring' service as a consolidated pipeline for all security audit events.</v>
      </c>
      <c r="C367" t="s">
        <v>236</v>
      </c>
      <c r="D367">
        <v>214</v>
      </c>
      <c r="E367" t="s">
        <v>12</v>
      </c>
      <c r="F367" t="s">
        <v>9</v>
      </c>
      <c r="G367" t="s">
        <v>789</v>
      </c>
      <c r="H367" t="s">
        <v>996</v>
      </c>
    </row>
    <row r="368" spans="1:8" x14ac:dyDescent="0.25">
      <c r="A368" t="s">
        <v>215</v>
      </c>
      <c r="B368" t="str">
        <f>VLOOKUP(A368,IDE_ConOps_4_3_Model_LVL3!C:H,6,FALSE)</f>
        <v>The mandated shared 'Service Mesh' shall enforce zero-trust security via mutually authenticated mTLS for all service-to-service communication.</v>
      </c>
      <c r="C368" t="s">
        <v>236</v>
      </c>
      <c r="D368">
        <v>215</v>
      </c>
      <c r="E368" t="s">
        <v>63</v>
      </c>
      <c r="F368" t="s">
        <v>9</v>
      </c>
      <c r="G368" t="s">
        <v>790</v>
      </c>
      <c r="H368" t="s">
        <v>996</v>
      </c>
    </row>
    <row r="369" spans="1:8" x14ac:dyDescent="0.25">
      <c r="A369" t="s">
        <v>132</v>
      </c>
      <c r="B369" t="str">
        <f>VLOOKUP(A369,IDE_ConOps_4_3_Model_LVL3!C:H,6,FALSE)</f>
        <v>The IDE shall complete the 'Platform Patching and Upgrades' scenario (Scenario 5.2.2), from execution of the upgrade command to operational readiness, in under one (1) hour.</v>
      </c>
      <c r="C369" t="s">
        <v>236</v>
      </c>
      <c r="D369">
        <v>216</v>
      </c>
      <c r="E369" t="s">
        <v>134</v>
      </c>
      <c r="F369" t="s">
        <v>9</v>
      </c>
      <c r="G369" t="s">
        <v>791</v>
      </c>
      <c r="H369" t="s">
        <v>996</v>
      </c>
    </row>
    <row r="370" spans="1:8" x14ac:dyDescent="0.25">
      <c r="A370" t="s">
        <v>31</v>
      </c>
      <c r="B370" t="str">
        <f>VLOOKUP(A370,IDE_ConOps_4_3_Model_LVL3!C:H,6,FALSE)</f>
        <v>The IDE 'Secure Platform' and 'IDE Capability Layer' components shall be hardened to comply with NIST SP 800-53 (Rev 5).</v>
      </c>
      <c r="C370" t="s">
        <v>236</v>
      </c>
      <c r="D370">
        <v>217</v>
      </c>
      <c r="E370" t="s">
        <v>33</v>
      </c>
      <c r="F370" t="s">
        <v>9</v>
      </c>
      <c r="G370" t="s">
        <v>792</v>
      </c>
      <c r="H370" t="s">
        <v>996</v>
      </c>
    </row>
    <row r="371" spans="1:8" x14ac:dyDescent="0.25">
      <c r="A371" t="s">
        <v>287</v>
      </c>
      <c r="B371" t="str">
        <f>VLOOKUP(A371,IDE_ConOps_4_3_Model_LVL3!C:H,6,FALSE)</f>
        <v>The 'Cyber compliance evidence' package shall include security scan results (SAST, DAST, container scans).</v>
      </c>
      <c r="C371" t="s">
        <v>236</v>
      </c>
      <c r="D371">
        <v>218</v>
      </c>
      <c r="E371" t="s">
        <v>176</v>
      </c>
      <c r="F371" t="s">
        <v>9</v>
      </c>
      <c r="G371" t="s">
        <v>793</v>
      </c>
      <c r="H371" t="s">
        <v>996</v>
      </c>
    </row>
    <row r="372" spans="1:8" x14ac:dyDescent="0.25">
      <c r="A372" t="s">
        <v>152</v>
      </c>
      <c r="B372" t="str">
        <f>VLOOKUP(A372,IDE_ConOps_4_3_Model_LVL3!C:H,6,FALSE)</f>
        <v>The IDE shall provide a DoD DevSecOps compliant capability for Cyber Security Compliance (DAST) and container scanning.</v>
      </c>
      <c r="C372" t="s">
        <v>236</v>
      </c>
      <c r="D372">
        <v>219</v>
      </c>
      <c r="E372" t="s">
        <v>29</v>
      </c>
      <c r="F372" t="s">
        <v>9</v>
      </c>
      <c r="G372" t="s">
        <v>794</v>
      </c>
      <c r="H372" t="s">
        <v>465</v>
      </c>
    </row>
    <row r="373" spans="1:8" x14ac:dyDescent="0.25">
      <c r="A373" t="s">
        <v>240</v>
      </c>
      <c r="B373" t="str">
        <f>VLOOKUP(A373,IDE_ConOps_4_3_Model_LVL3!C:H,6,FALSE)</f>
        <v>The IDE shall provide a DoD DevSecOps compliant capability for Continuous Integration and Continuous Deployment (CI/CD).</v>
      </c>
      <c r="C373" t="s">
        <v>236</v>
      </c>
      <c r="D373">
        <v>220</v>
      </c>
      <c r="E373" t="s">
        <v>29</v>
      </c>
      <c r="F373" t="s">
        <v>9</v>
      </c>
      <c r="G373" t="s">
        <v>795</v>
      </c>
      <c r="H373" t="s">
        <v>796</v>
      </c>
    </row>
    <row r="374" spans="1:8" x14ac:dyDescent="0.25">
      <c r="A374" t="s">
        <v>365</v>
      </c>
      <c r="B374" t="str">
        <f>VLOOKUP(A374,IDE_ConOps_4_3_Model_LVL3!C:H,6,FALSE)</f>
        <v>The IDE shall provide a 'Local Security Dashboard' to allow the Local Program Cyber Engineer to review security audit logs.</v>
      </c>
      <c r="C374" t="s">
        <v>236</v>
      </c>
      <c r="D374">
        <v>221</v>
      </c>
      <c r="E374" t="s">
        <v>291</v>
      </c>
      <c r="F374" t="s">
        <v>9</v>
      </c>
      <c r="G374" t="s">
        <v>797</v>
      </c>
      <c r="H374" t="s">
        <v>465</v>
      </c>
    </row>
    <row r="375" spans="1:8" x14ac:dyDescent="0.25">
      <c r="A375" t="s">
        <v>10</v>
      </c>
      <c r="B375" t="str">
        <f>VLOOKUP(A375,IDE_ConOps_4_3_Model_LVL3!C:H,6,FALSE)</f>
        <v>The IDE shall provide a 'Centralized Logging and Monitoring' service as a consolidated pipeline for all security audit events.</v>
      </c>
      <c r="C375" t="s">
        <v>236</v>
      </c>
      <c r="D375">
        <v>222</v>
      </c>
      <c r="E375" t="s">
        <v>12</v>
      </c>
      <c r="F375" t="s">
        <v>9</v>
      </c>
      <c r="G375" t="s">
        <v>798</v>
      </c>
      <c r="H375" t="s">
        <v>799</v>
      </c>
    </row>
    <row r="376" spans="1:8" x14ac:dyDescent="0.25">
      <c r="A376" t="s">
        <v>242</v>
      </c>
      <c r="B376" t="str">
        <f>VLOOKUP(A376,IDE_ConOps_4_3_Model_LVL3!C:H,6,FALSE)</f>
        <v>The IDE shall provide a mandated shared 'Service Mesh' that provides service discovery.</v>
      </c>
      <c r="C376" t="s">
        <v>236</v>
      </c>
      <c r="D376">
        <v>223</v>
      </c>
      <c r="E376" t="s">
        <v>63</v>
      </c>
      <c r="F376" t="s">
        <v>9</v>
      </c>
      <c r="G376" t="s">
        <v>800</v>
      </c>
      <c r="H376" t="s">
        <v>715</v>
      </c>
    </row>
    <row r="377" spans="1:8" x14ac:dyDescent="0.25">
      <c r="A377" t="s">
        <v>242</v>
      </c>
      <c r="B377" t="str">
        <f>VLOOKUP(A377,IDE_ConOps_4_3_Model_LVL3!C:H,6,FALSE)</f>
        <v>The IDE shall provide a mandated shared 'Service Mesh' that provides service discovery.</v>
      </c>
      <c r="C377" t="s">
        <v>236</v>
      </c>
      <c r="D377">
        <v>224</v>
      </c>
      <c r="E377" t="s">
        <v>63</v>
      </c>
      <c r="F377" t="s">
        <v>9</v>
      </c>
      <c r="G377" t="s">
        <v>801</v>
      </c>
      <c r="H377" t="s">
        <v>996</v>
      </c>
    </row>
    <row r="378" spans="1:8" x14ac:dyDescent="0.25">
      <c r="A378" t="s">
        <v>47</v>
      </c>
      <c r="B378" t="str">
        <f>VLOOKUP(A378,IDE_ConOps_4_3_Model_LVL3!C:H,6,FALSE)</f>
        <v>The IDE shall provide a mandated shared service for Centralized Authentication and Authorization (SSO) that functions as an identity broker, connecting to a customer-provided Identity Provider (IdP).</v>
      </c>
      <c r="C378" t="s">
        <v>236</v>
      </c>
      <c r="D378">
        <v>225</v>
      </c>
      <c r="E378" t="s">
        <v>49</v>
      </c>
      <c r="F378" t="s">
        <v>9</v>
      </c>
      <c r="G378" t="s">
        <v>802</v>
      </c>
      <c r="H378" t="s">
        <v>996</v>
      </c>
    </row>
    <row r="379" spans="1:8" x14ac:dyDescent="0.25">
      <c r="A379" t="s">
        <v>31</v>
      </c>
      <c r="B379" t="str">
        <f>VLOOKUP(A379,IDE_ConOps_4_3_Model_LVL3!C:H,6,FALSE)</f>
        <v>The IDE 'Secure Platform' and 'IDE Capability Layer' components shall be hardened to comply with NIST SP 800-53 (Rev 5).</v>
      </c>
      <c r="C379" t="s">
        <v>236</v>
      </c>
      <c r="D379">
        <v>226</v>
      </c>
      <c r="E379" t="s">
        <v>33</v>
      </c>
      <c r="F379" t="s">
        <v>9</v>
      </c>
      <c r="G379" t="s">
        <v>803</v>
      </c>
      <c r="H379" t="s">
        <v>996</v>
      </c>
    </row>
    <row r="380" spans="1:8" x14ac:dyDescent="0.25">
      <c r="A380" t="s">
        <v>138</v>
      </c>
      <c r="B380" t="str">
        <f>VLOOKUP(A380,IDE_ConOps_4_3_Model_LVL3!C:H,6,FALSE)</f>
        <v>The IDE 'Secure Platform' and its 'Mandated Shared Services' shall provide &gt;= 99.99% availability.</v>
      </c>
      <c r="C380" t="s">
        <v>236</v>
      </c>
      <c r="D380">
        <v>227</v>
      </c>
      <c r="E380" t="s">
        <v>56</v>
      </c>
      <c r="F380" t="s">
        <v>9</v>
      </c>
      <c r="G380" t="s">
        <v>804</v>
      </c>
      <c r="H380" t="s">
        <v>396</v>
      </c>
    </row>
    <row r="381" spans="1:8" x14ac:dyDescent="0.25">
      <c r="A381" t="s">
        <v>247</v>
      </c>
      <c r="B381" t="str">
        <f>VLOOKUP(A381,IDE_ConOps_4_3_Model_LVL3!C:H,6,FALSE)</f>
        <v>The IDE shall provide a mandated shared service for 'In-Cluster VM Management' to orchestrate non-containerized workloads as virtual machines within the cluster.</v>
      </c>
      <c r="C381" t="s">
        <v>236</v>
      </c>
      <c r="D381">
        <v>228</v>
      </c>
      <c r="E381" t="s">
        <v>63</v>
      </c>
      <c r="F381" t="s">
        <v>9</v>
      </c>
      <c r="G381" t="s">
        <v>805</v>
      </c>
      <c r="H381" t="s">
        <v>996</v>
      </c>
    </row>
    <row r="382" spans="1:8" x14ac:dyDescent="0.25">
      <c r="A382" t="s">
        <v>244</v>
      </c>
      <c r="B382" t="str">
        <f>VLOOKUP(A382,IDE_ConOps_4_3_Model_LVL3!C:H,6,FALSE)</f>
        <v>The 'site deployment package' shall include user and administrator documentation.</v>
      </c>
      <c r="C382" t="s">
        <v>236</v>
      </c>
      <c r="D382">
        <v>229</v>
      </c>
      <c r="E382" t="s">
        <v>245</v>
      </c>
      <c r="F382" t="s">
        <v>9</v>
      </c>
      <c r="G382" t="s">
        <v>806</v>
      </c>
      <c r="H382" t="s">
        <v>996</v>
      </c>
    </row>
    <row r="383" spans="1:8" x14ac:dyDescent="0.25">
      <c r="A383" t="s">
        <v>241</v>
      </c>
      <c r="B383" t="str">
        <f>VLOOKUP(A383,IDE_ConOps_4_3_Model_LVL3!C:H,6,FALSE)</f>
        <v>The IDE shall provide a mandated shared service for 'Backup and Recovery' that performs automated, policy-based backups of the platform state and customer data.</v>
      </c>
      <c r="C383" t="s">
        <v>236</v>
      </c>
      <c r="D383">
        <v>230</v>
      </c>
      <c r="E383" t="s">
        <v>63</v>
      </c>
      <c r="F383" t="s">
        <v>9</v>
      </c>
      <c r="G383" t="s">
        <v>807</v>
      </c>
      <c r="H383" t="s">
        <v>412</v>
      </c>
    </row>
    <row r="384" spans="1:8" x14ac:dyDescent="0.25">
      <c r="A384" t="s">
        <v>289</v>
      </c>
      <c r="B384" t="str">
        <f>VLOOKUP(A384,IDE_ConOps_4_3_Model_LVL3!C:H,6,FALSE)</f>
        <v>The IDE shall provide a 'Local Security Dashboard' to allow the Local Program Cyber Engineer to review compliance status.</v>
      </c>
      <c r="C384" t="s">
        <v>236</v>
      </c>
      <c r="D384">
        <v>231</v>
      </c>
      <c r="E384" t="s">
        <v>291</v>
      </c>
      <c r="F384" t="s">
        <v>9</v>
      </c>
      <c r="G384" t="s">
        <v>808</v>
      </c>
      <c r="H384" t="s">
        <v>996</v>
      </c>
    </row>
    <row r="385" spans="1:8" x14ac:dyDescent="0.25">
      <c r="A385" t="s">
        <v>287</v>
      </c>
      <c r="B385" t="str">
        <f>VLOOKUP(A385,IDE_ConOps_4_3_Model_LVL3!C:H,6,FALSE)</f>
        <v>The 'Cyber compliance evidence' package shall include security scan results (SAST, DAST, container scans).</v>
      </c>
      <c r="C385" t="s">
        <v>236</v>
      </c>
      <c r="D385">
        <v>232</v>
      </c>
      <c r="E385" t="s">
        <v>176</v>
      </c>
      <c r="F385" t="s">
        <v>9</v>
      </c>
      <c r="G385" t="s">
        <v>809</v>
      </c>
      <c r="H385" t="s">
        <v>810</v>
      </c>
    </row>
    <row r="386" spans="1:8" x14ac:dyDescent="0.25">
      <c r="A386" t="s">
        <v>10</v>
      </c>
      <c r="B386" t="str">
        <f>VLOOKUP(A386,IDE_ConOps_4_3_Model_LVL3!C:H,6,FALSE)</f>
        <v>The IDE shall provide a 'Centralized Logging and Monitoring' service as a consolidated pipeline for all security audit events.</v>
      </c>
      <c r="C386" t="s">
        <v>236</v>
      </c>
      <c r="D386">
        <v>233</v>
      </c>
      <c r="E386" t="s">
        <v>12</v>
      </c>
      <c r="F386" t="s">
        <v>9</v>
      </c>
      <c r="G386" t="s">
        <v>811</v>
      </c>
      <c r="H386" t="s">
        <v>393</v>
      </c>
    </row>
    <row r="387" spans="1:8" x14ac:dyDescent="0.25">
      <c r="A387" t="s">
        <v>247</v>
      </c>
      <c r="B387" t="str">
        <f>VLOOKUP(A387,IDE_ConOps_4_3_Model_LVL3!C:H,6,FALSE)</f>
        <v>The IDE shall provide a mandated shared service for 'In-Cluster VM Management' to orchestrate non-containerized workloads as virtual machines within the cluster.</v>
      </c>
      <c r="C387" t="s">
        <v>236</v>
      </c>
      <c r="D387">
        <v>234</v>
      </c>
      <c r="E387" t="s">
        <v>63</v>
      </c>
      <c r="F387" t="s">
        <v>9</v>
      </c>
      <c r="G387" t="s">
        <v>812</v>
      </c>
      <c r="H387" t="s">
        <v>412</v>
      </c>
    </row>
    <row r="388" spans="1:8" x14ac:dyDescent="0.25">
      <c r="A388" t="s">
        <v>34</v>
      </c>
      <c r="B388" t="str">
        <f>VLOOKUP(A388,IDE_ConOps_4_3_Model_LVL3!C:H,6,FALSE)</f>
        <v>The IDE shall provide a 'Centralized Health Dashboard' to display real-time performance status of all platform components.</v>
      </c>
      <c r="C388" t="s">
        <v>236</v>
      </c>
      <c r="D388">
        <v>235</v>
      </c>
      <c r="E388" t="s">
        <v>8</v>
      </c>
      <c r="F388" t="s">
        <v>9</v>
      </c>
      <c r="G388" t="s">
        <v>813</v>
      </c>
      <c r="H388" t="s">
        <v>996</v>
      </c>
    </row>
    <row r="389" spans="1:8" x14ac:dyDescent="0.25">
      <c r="A389" t="s">
        <v>31</v>
      </c>
      <c r="B389" t="str">
        <f>VLOOKUP(A389,IDE_ConOps_4_3_Model_LVL3!C:H,6,FALSE)</f>
        <v>The IDE 'Secure Platform' and 'IDE Capability Layer' components shall be hardened to comply with NIST SP 800-53 (Rev 5).</v>
      </c>
      <c r="C389" t="s">
        <v>236</v>
      </c>
      <c r="D389">
        <v>236</v>
      </c>
      <c r="E389" t="s">
        <v>33</v>
      </c>
      <c r="F389" t="s">
        <v>9</v>
      </c>
      <c r="G389" t="s">
        <v>814</v>
      </c>
      <c r="H389" t="s">
        <v>404</v>
      </c>
    </row>
    <row r="390" spans="1:8" x14ac:dyDescent="0.25">
      <c r="A390" t="s">
        <v>61</v>
      </c>
      <c r="B390" t="str">
        <f>VLOOKUP(A390,IDE_ConOps_4_3_Model_LVL3!C:H,6,FALSE)</f>
        <v>The IDE Secure Platform shall provide a mandated shared service for structured data storage (e.g., SQL-compatible).</v>
      </c>
      <c r="C390" t="s">
        <v>236</v>
      </c>
      <c r="D390">
        <v>238</v>
      </c>
      <c r="E390" t="s">
        <v>63</v>
      </c>
      <c r="F390" t="s">
        <v>18</v>
      </c>
      <c r="G390" t="s">
        <v>817</v>
      </c>
      <c r="H390" t="s">
        <v>996</v>
      </c>
    </row>
    <row r="391" spans="1:8" x14ac:dyDescent="0.25">
      <c r="A391" t="s">
        <v>382</v>
      </c>
      <c r="B391" t="str">
        <f>VLOOKUP(A391,IDE_ConOps_4_3_Model_LVL3!C:H,6,FALSE)</f>
        <v>The IDE Secure Platform shall provide a mandated shared service for unstructured data storage (e.g., object storage).</v>
      </c>
      <c r="C391" t="s">
        <v>236</v>
      </c>
      <c r="D391">
        <v>239</v>
      </c>
      <c r="E391" t="s">
        <v>63</v>
      </c>
      <c r="F391" t="s">
        <v>18</v>
      </c>
      <c r="G391" t="s">
        <v>819</v>
      </c>
      <c r="H391" t="s">
        <v>996</v>
      </c>
    </row>
    <row r="392" spans="1:8" x14ac:dyDescent="0.25">
      <c r="A392" t="s">
        <v>100</v>
      </c>
      <c r="B392" t="str">
        <f>VLOOKUP(A392,IDE_ConOps_4_3_Model_LVL3!C:H,6,FALSE)</f>
        <v>The IDE Secure Platform shall enable 'Customer-Integrated Applications' to leverage Mandated Shared Services via adherence to the published IDE Interface Control Document (ICD).</v>
      </c>
      <c r="C392" t="s">
        <v>236</v>
      </c>
      <c r="D392">
        <v>240</v>
      </c>
      <c r="E392" t="s">
        <v>102</v>
      </c>
      <c r="F392" t="s">
        <v>9</v>
      </c>
      <c r="G392" t="s">
        <v>821</v>
      </c>
      <c r="H392" t="s">
        <v>822</v>
      </c>
    </row>
    <row r="393" spans="1:8" x14ac:dyDescent="0.25">
      <c r="A393" t="s">
        <v>100</v>
      </c>
      <c r="B393" t="str">
        <f>VLOOKUP(A393,IDE_ConOps_4_3_Model_LVL3!C:H,6,FALSE)</f>
        <v>The IDE Secure Platform shall enable 'Customer-Integrated Applications' to leverage Mandated Shared Services via adherence to the published IDE Interface Control Document (ICD).</v>
      </c>
      <c r="C393" t="s">
        <v>236</v>
      </c>
      <c r="D393">
        <v>241</v>
      </c>
      <c r="E393" t="s">
        <v>102</v>
      </c>
      <c r="F393" t="s">
        <v>9</v>
      </c>
      <c r="G393" t="s">
        <v>821</v>
      </c>
      <c r="H393" t="s">
        <v>822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BB99-53F3-4061-B496-8EB9D5588EB7}">
  <dimension ref="A1:D242"/>
  <sheetViews>
    <sheetView workbookViewId="0">
      <selection activeCell="C238" sqref="C238"/>
    </sheetView>
  </sheetViews>
  <sheetFormatPr defaultRowHeight="15" x14ac:dyDescent="0.25"/>
  <cols>
    <col min="2" max="2" width="76.140625" bestFit="1" customWidth="1"/>
    <col min="3" max="4" width="255.7109375" bestFit="1" customWidth="1"/>
  </cols>
  <sheetData>
    <row r="1" spans="1:4" x14ac:dyDescent="0.25">
      <c r="A1" t="s">
        <v>383</v>
      </c>
      <c r="B1" t="s">
        <v>384</v>
      </c>
      <c r="C1" t="s">
        <v>385</v>
      </c>
      <c r="D1" t="s">
        <v>386</v>
      </c>
    </row>
    <row r="2" spans="1:4" x14ac:dyDescent="0.25">
      <c r="A2">
        <v>1</v>
      </c>
      <c r="B2" t="s">
        <v>387</v>
      </c>
    </row>
    <row r="3" spans="1:4" x14ac:dyDescent="0.25">
      <c r="A3">
        <v>2</v>
      </c>
      <c r="B3" t="s">
        <v>388</v>
      </c>
      <c r="C3" t="s">
        <v>389</v>
      </c>
      <c r="D3" t="s">
        <v>390</v>
      </c>
    </row>
    <row r="4" spans="1:4" x14ac:dyDescent="0.25">
      <c r="A4">
        <v>3</v>
      </c>
      <c r="B4" t="s">
        <v>391</v>
      </c>
      <c r="C4" t="s">
        <v>392</v>
      </c>
      <c r="D4" t="s">
        <v>393</v>
      </c>
    </row>
    <row r="5" spans="1:4" x14ac:dyDescent="0.25">
      <c r="A5">
        <v>4</v>
      </c>
      <c r="B5" t="s">
        <v>394</v>
      </c>
      <c r="C5" t="s">
        <v>395</v>
      </c>
      <c r="D5" t="s">
        <v>396</v>
      </c>
    </row>
    <row r="6" spans="1:4" x14ac:dyDescent="0.25">
      <c r="A6">
        <v>5</v>
      </c>
      <c r="B6" t="s">
        <v>397</v>
      </c>
      <c r="C6" t="s">
        <v>398</v>
      </c>
      <c r="D6" t="s">
        <v>393</v>
      </c>
    </row>
    <row r="7" spans="1:4" x14ac:dyDescent="0.25">
      <c r="A7">
        <v>6</v>
      </c>
      <c r="B7" t="s">
        <v>399</v>
      </c>
      <c r="C7" t="s">
        <v>400</v>
      </c>
      <c r="D7" t="s">
        <v>401</v>
      </c>
    </row>
    <row r="8" spans="1:4" x14ac:dyDescent="0.25">
      <c r="A8">
        <v>7</v>
      </c>
      <c r="B8" t="s">
        <v>402</v>
      </c>
      <c r="C8" t="s">
        <v>403</v>
      </c>
      <c r="D8" t="s">
        <v>404</v>
      </c>
    </row>
    <row r="9" spans="1:4" x14ac:dyDescent="0.25">
      <c r="A9">
        <v>8</v>
      </c>
      <c r="B9" t="s">
        <v>405</v>
      </c>
      <c r="C9" t="s">
        <v>406</v>
      </c>
    </row>
    <row r="10" spans="1:4" x14ac:dyDescent="0.25">
      <c r="A10">
        <v>9</v>
      </c>
      <c r="B10" t="s">
        <v>407</v>
      </c>
      <c r="C10" t="s">
        <v>408</v>
      </c>
      <c r="D10" t="s">
        <v>409</v>
      </c>
    </row>
    <row r="11" spans="1:4" x14ac:dyDescent="0.25">
      <c r="A11">
        <v>10</v>
      </c>
      <c r="B11" t="s">
        <v>410</v>
      </c>
      <c r="C11" t="s">
        <v>411</v>
      </c>
      <c r="D11" t="s">
        <v>412</v>
      </c>
    </row>
    <row r="12" spans="1:4" x14ac:dyDescent="0.25">
      <c r="A12">
        <v>11</v>
      </c>
      <c r="B12" t="s">
        <v>413</v>
      </c>
      <c r="C12" t="s">
        <v>414</v>
      </c>
      <c r="D12" t="s">
        <v>415</v>
      </c>
    </row>
    <row r="13" spans="1:4" x14ac:dyDescent="0.25">
      <c r="A13">
        <v>12</v>
      </c>
      <c r="B13" t="s">
        <v>416</v>
      </c>
      <c r="C13" t="s">
        <v>417</v>
      </c>
      <c r="D13" t="s">
        <v>418</v>
      </c>
    </row>
    <row r="14" spans="1:4" x14ac:dyDescent="0.25">
      <c r="A14">
        <v>13</v>
      </c>
      <c r="B14" t="s">
        <v>419</v>
      </c>
      <c r="C14" t="s">
        <v>420</v>
      </c>
    </row>
    <row r="15" spans="1:4" x14ac:dyDescent="0.25">
      <c r="A15">
        <v>14</v>
      </c>
      <c r="B15" t="s">
        <v>421</v>
      </c>
      <c r="C15" t="s">
        <v>422</v>
      </c>
      <c r="D15" t="s">
        <v>423</v>
      </c>
    </row>
    <row r="16" spans="1:4" x14ac:dyDescent="0.25">
      <c r="A16">
        <v>15</v>
      </c>
      <c r="B16" t="s">
        <v>424</v>
      </c>
      <c r="C16" t="s">
        <v>425</v>
      </c>
      <c r="D16" t="s">
        <v>426</v>
      </c>
    </row>
    <row r="17" spans="1:4" x14ac:dyDescent="0.25">
      <c r="A17">
        <v>16</v>
      </c>
      <c r="B17" t="s">
        <v>427</v>
      </c>
      <c r="C17" t="s">
        <v>428</v>
      </c>
      <c r="D17" t="s">
        <v>393</v>
      </c>
    </row>
    <row r="18" spans="1:4" x14ac:dyDescent="0.25">
      <c r="A18">
        <v>17</v>
      </c>
      <c r="B18" t="s">
        <v>429</v>
      </c>
      <c r="C18" t="s">
        <v>430</v>
      </c>
      <c r="D18" t="s">
        <v>431</v>
      </c>
    </row>
    <row r="19" spans="1:4" x14ac:dyDescent="0.25">
      <c r="A19">
        <v>18</v>
      </c>
      <c r="B19" t="s">
        <v>432</v>
      </c>
      <c r="C19" t="s">
        <v>433</v>
      </c>
      <c r="D19" t="s">
        <v>434</v>
      </c>
    </row>
    <row r="20" spans="1:4" x14ac:dyDescent="0.25">
      <c r="A20">
        <v>19</v>
      </c>
      <c r="B20" t="s">
        <v>435</v>
      </c>
      <c r="C20" t="s">
        <v>436</v>
      </c>
      <c r="D20" t="s">
        <v>412</v>
      </c>
    </row>
    <row r="21" spans="1:4" x14ac:dyDescent="0.25">
      <c r="A21">
        <v>20</v>
      </c>
      <c r="B21" t="s">
        <v>437</v>
      </c>
      <c r="C21" t="s">
        <v>438</v>
      </c>
      <c r="D21" t="s">
        <v>412</v>
      </c>
    </row>
    <row r="22" spans="1:4" x14ac:dyDescent="0.25">
      <c r="A22">
        <v>21</v>
      </c>
      <c r="B22" t="s">
        <v>439</v>
      </c>
      <c r="C22" t="s">
        <v>440</v>
      </c>
      <c r="D22" t="s">
        <v>393</v>
      </c>
    </row>
    <row r="23" spans="1:4" x14ac:dyDescent="0.25">
      <c r="A23">
        <v>22</v>
      </c>
      <c r="B23" t="s">
        <v>441</v>
      </c>
      <c r="C23" t="s">
        <v>442</v>
      </c>
      <c r="D23" t="s">
        <v>393</v>
      </c>
    </row>
    <row r="24" spans="1:4" x14ac:dyDescent="0.25">
      <c r="A24">
        <v>23</v>
      </c>
      <c r="B24" t="s">
        <v>443</v>
      </c>
      <c r="C24" t="s">
        <v>444</v>
      </c>
      <c r="D24" t="s">
        <v>393</v>
      </c>
    </row>
    <row r="25" spans="1:4" x14ac:dyDescent="0.25">
      <c r="A25">
        <v>24</v>
      </c>
      <c r="B25" t="s">
        <v>445</v>
      </c>
      <c r="C25" t="s">
        <v>446</v>
      </c>
      <c r="D25" t="s">
        <v>447</v>
      </c>
    </row>
    <row r="26" spans="1:4" x14ac:dyDescent="0.25">
      <c r="A26">
        <v>25</v>
      </c>
      <c r="B26" t="s">
        <v>448</v>
      </c>
      <c r="C26" t="s">
        <v>449</v>
      </c>
      <c r="D26" t="s">
        <v>409</v>
      </c>
    </row>
    <row r="27" spans="1:4" x14ac:dyDescent="0.25">
      <c r="A27">
        <v>26</v>
      </c>
      <c r="B27" t="s">
        <v>450</v>
      </c>
      <c r="C27" t="s">
        <v>451</v>
      </c>
      <c r="D27" t="s">
        <v>409</v>
      </c>
    </row>
    <row r="28" spans="1:4" x14ac:dyDescent="0.25">
      <c r="A28">
        <v>27</v>
      </c>
      <c r="B28" t="s">
        <v>452</v>
      </c>
      <c r="C28" t="s">
        <v>453</v>
      </c>
      <c r="D28" t="s">
        <v>454</v>
      </c>
    </row>
    <row r="29" spans="1:4" x14ac:dyDescent="0.25">
      <c r="A29">
        <v>28</v>
      </c>
      <c r="B29" t="s">
        <v>455</v>
      </c>
      <c r="C29" t="s">
        <v>456</v>
      </c>
      <c r="D29" t="s">
        <v>454</v>
      </c>
    </row>
    <row r="30" spans="1:4" x14ac:dyDescent="0.25">
      <c r="A30">
        <v>29</v>
      </c>
      <c r="B30" t="s">
        <v>457</v>
      </c>
      <c r="C30" t="s">
        <v>458</v>
      </c>
    </row>
    <row r="31" spans="1:4" x14ac:dyDescent="0.25">
      <c r="A31">
        <v>30</v>
      </c>
      <c r="B31" t="s">
        <v>459</v>
      </c>
      <c r="C31" t="s">
        <v>460</v>
      </c>
    </row>
    <row r="32" spans="1:4" x14ac:dyDescent="0.25">
      <c r="A32">
        <v>31</v>
      </c>
      <c r="B32" t="s">
        <v>461</v>
      </c>
      <c r="C32" t="s">
        <v>462</v>
      </c>
    </row>
    <row r="33" spans="1:4" x14ac:dyDescent="0.25">
      <c r="A33">
        <v>32</v>
      </c>
      <c r="B33" t="s">
        <v>463</v>
      </c>
      <c r="C33" t="s">
        <v>464</v>
      </c>
      <c r="D33" t="s">
        <v>465</v>
      </c>
    </row>
    <row r="34" spans="1:4" x14ac:dyDescent="0.25">
      <c r="A34">
        <v>33</v>
      </c>
      <c r="B34" t="s">
        <v>466</v>
      </c>
      <c r="C34" t="s">
        <v>467</v>
      </c>
      <c r="D34" t="s">
        <v>468</v>
      </c>
    </row>
    <row r="35" spans="1:4" x14ac:dyDescent="0.25">
      <c r="A35">
        <v>34</v>
      </c>
      <c r="B35" t="s">
        <v>469</v>
      </c>
      <c r="C35" t="s">
        <v>470</v>
      </c>
    </row>
    <row r="36" spans="1:4" x14ac:dyDescent="0.25">
      <c r="A36">
        <v>35</v>
      </c>
      <c r="B36" t="s">
        <v>471</v>
      </c>
      <c r="C36" t="s">
        <v>472</v>
      </c>
      <c r="D36" t="s">
        <v>473</v>
      </c>
    </row>
    <row r="37" spans="1:4" x14ac:dyDescent="0.25">
      <c r="A37">
        <v>36</v>
      </c>
      <c r="B37" t="s">
        <v>474</v>
      </c>
      <c r="C37" t="s">
        <v>475</v>
      </c>
      <c r="D37" t="s">
        <v>454</v>
      </c>
    </row>
    <row r="38" spans="1:4" x14ac:dyDescent="0.25">
      <c r="A38">
        <v>37</v>
      </c>
      <c r="B38" t="s">
        <v>476</v>
      </c>
      <c r="C38" t="s">
        <v>477</v>
      </c>
      <c r="D38" t="s">
        <v>454</v>
      </c>
    </row>
    <row r="39" spans="1:4" x14ac:dyDescent="0.25">
      <c r="A39">
        <v>38</v>
      </c>
      <c r="B39" t="s">
        <v>478</v>
      </c>
      <c r="C39" t="s">
        <v>479</v>
      </c>
      <c r="D39" t="s">
        <v>480</v>
      </c>
    </row>
    <row r="40" spans="1:4" x14ac:dyDescent="0.25">
      <c r="A40">
        <v>39</v>
      </c>
      <c r="B40" t="s">
        <v>481</v>
      </c>
      <c r="C40" t="s">
        <v>482</v>
      </c>
      <c r="D40" t="s">
        <v>483</v>
      </c>
    </row>
    <row r="41" spans="1:4" x14ac:dyDescent="0.25">
      <c r="A41">
        <v>40</v>
      </c>
      <c r="B41" t="s">
        <v>484</v>
      </c>
      <c r="C41" t="s">
        <v>485</v>
      </c>
      <c r="D41" t="s">
        <v>483</v>
      </c>
    </row>
    <row r="42" spans="1:4" x14ac:dyDescent="0.25">
      <c r="A42">
        <v>41</v>
      </c>
      <c r="B42" t="s">
        <v>486</v>
      </c>
      <c r="C42" t="s">
        <v>487</v>
      </c>
      <c r="D42" t="s">
        <v>404</v>
      </c>
    </row>
    <row r="43" spans="1:4" x14ac:dyDescent="0.25">
      <c r="A43">
        <v>42</v>
      </c>
      <c r="B43" t="s">
        <v>488</v>
      </c>
      <c r="C43" t="s">
        <v>489</v>
      </c>
      <c r="D43" t="s">
        <v>473</v>
      </c>
    </row>
    <row r="44" spans="1:4" x14ac:dyDescent="0.25">
      <c r="A44">
        <v>43</v>
      </c>
      <c r="B44" t="s">
        <v>490</v>
      </c>
      <c r="C44" t="s">
        <v>491</v>
      </c>
      <c r="D44" t="s">
        <v>404</v>
      </c>
    </row>
    <row r="45" spans="1:4" x14ac:dyDescent="0.25">
      <c r="A45">
        <v>44</v>
      </c>
      <c r="B45" t="s">
        <v>492</v>
      </c>
      <c r="C45" t="s">
        <v>493</v>
      </c>
      <c r="D45" t="s">
        <v>483</v>
      </c>
    </row>
    <row r="46" spans="1:4" x14ac:dyDescent="0.25">
      <c r="A46">
        <v>45</v>
      </c>
      <c r="B46" t="s">
        <v>494</v>
      </c>
      <c r="C46" t="s">
        <v>495</v>
      </c>
      <c r="D46" t="s">
        <v>496</v>
      </c>
    </row>
    <row r="47" spans="1:4" x14ac:dyDescent="0.25">
      <c r="A47">
        <v>46</v>
      </c>
      <c r="B47" t="s">
        <v>497</v>
      </c>
      <c r="C47" t="s">
        <v>498</v>
      </c>
      <c r="D47" t="s">
        <v>426</v>
      </c>
    </row>
    <row r="48" spans="1:4" x14ac:dyDescent="0.25">
      <c r="A48">
        <v>47</v>
      </c>
      <c r="B48" t="s">
        <v>499</v>
      </c>
      <c r="C48" t="s">
        <v>500</v>
      </c>
      <c r="D48" t="s">
        <v>501</v>
      </c>
    </row>
    <row r="49" spans="1:4" x14ac:dyDescent="0.25">
      <c r="A49">
        <v>48</v>
      </c>
      <c r="B49" t="s">
        <v>502</v>
      </c>
      <c r="C49" t="s">
        <v>503</v>
      </c>
      <c r="D49" t="s">
        <v>504</v>
      </c>
    </row>
    <row r="50" spans="1:4" x14ac:dyDescent="0.25">
      <c r="A50">
        <v>49</v>
      </c>
      <c r="B50" t="s">
        <v>505</v>
      </c>
      <c r="C50" t="s">
        <v>506</v>
      </c>
      <c r="D50" t="s">
        <v>507</v>
      </c>
    </row>
    <row r="51" spans="1:4" x14ac:dyDescent="0.25">
      <c r="A51">
        <v>50</v>
      </c>
      <c r="B51" t="s">
        <v>508</v>
      </c>
      <c r="C51" t="s">
        <v>509</v>
      </c>
      <c r="D51" t="s">
        <v>404</v>
      </c>
    </row>
    <row r="52" spans="1:4" x14ac:dyDescent="0.25">
      <c r="A52">
        <v>51</v>
      </c>
      <c r="B52" t="s">
        <v>510</v>
      </c>
      <c r="C52" t="s">
        <v>511</v>
      </c>
      <c r="D52" t="s">
        <v>512</v>
      </c>
    </row>
    <row r="53" spans="1:4" x14ac:dyDescent="0.25">
      <c r="A53">
        <v>52</v>
      </c>
      <c r="B53" t="s">
        <v>513</v>
      </c>
      <c r="C53" t="s">
        <v>514</v>
      </c>
      <c r="D53" t="s">
        <v>454</v>
      </c>
    </row>
    <row r="54" spans="1:4" x14ac:dyDescent="0.25">
      <c r="A54">
        <v>53</v>
      </c>
      <c r="B54" t="s">
        <v>515</v>
      </c>
      <c r="C54" t="s">
        <v>516</v>
      </c>
      <c r="D54" t="s">
        <v>454</v>
      </c>
    </row>
    <row r="55" spans="1:4" x14ac:dyDescent="0.25">
      <c r="A55">
        <v>54</v>
      </c>
      <c r="B55" t="s">
        <v>517</v>
      </c>
      <c r="C55" t="s">
        <v>518</v>
      </c>
    </row>
    <row r="56" spans="1:4" x14ac:dyDescent="0.25">
      <c r="A56">
        <v>55</v>
      </c>
      <c r="B56" t="s">
        <v>519</v>
      </c>
      <c r="C56" t="s">
        <v>520</v>
      </c>
      <c r="D56" t="s">
        <v>521</v>
      </c>
    </row>
    <row r="57" spans="1:4" x14ac:dyDescent="0.25">
      <c r="A57">
        <v>56</v>
      </c>
      <c r="B57" t="s">
        <v>522</v>
      </c>
      <c r="C57" t="s">
        <v>523</v>
      </c>
      <c r="D57" t="s">
        <v>393</v>
      </c>
    </row>
    <row r="58" spans="1:4" x14ac:dyDescent="0.25">
      <c r="A58">
        <v>57</v>
      </c>
      <c r="B58" t="s">
        <v>524</v>
      </c>
      <c r="C58" t="s">
        <v>525</v>
      </c>
      <c r="D58" t="s">
        <v>526</v>
      </c>
    </row>
    <row r="59" spans="1:4" x14ac:dyDescent="0.25">
      <c r="A59">
        <v>58</v>
      </c>
      <c r="B59" t="s">
        <v>527</v>
      </c>
      <c r="C59" t="s">
        <v>528</v>
      </c>
      <c r="D59" t="s">
        <v>529</v>
      </c>
    </row>
    <row r="60" spans="1:4" x14ac:dyDescent="0.25">
      <c r="A60">
        <v>59</v>
      </c>
      <c r="B60" t="s">
        <v>530</v>
      </c>
      <c r="C60" t="s">
        <v>531</v>
      </c>
      <c r="D60" t="s">
        <v>532</v>
      </c>
    </row>
    <row r="61" spans="1:4" x14ac:dyDescent="0.25">
      <c r="A61">
        <v>60</v>
      </c>
      <c r="B61" t="s">
        <v>533</v>
      </c>
      <c r="C61" t="s">
        <v>534</v>
      </c>
      <c r="D61" t="s">
        <v>535</v>
      </c>
    </row>
    <row r="62" spans="1:4" x14ac:dyDescent="0.25">
      <c r="A62">
        <v>61</v>
      </c>
      <c r="B62" t="s">
        <v>536</v>
      </c>
      <c r="C62" t="s">
        <v>537</v>
      </c>
      <c r="D62" t="s">
        <v>538</v>
      </c>
    </row>
    <row r="63" spans="1:4" x14ac:dyDescent="0.25">
      <c r="A63">
        <v>62</v>
      </c>
      <c r="B63" t="s">
        <v>539</v>
      </c>
      <c r="C63" t="s">
        <v>540</v>
      </c>
      <c r="D63" t="s">
        <v>541</v>
      </c>
    </row>
    <row r="64" spans="1:4" x14ac:dyDescent="0.25">
      <c r="A64">
        <v>63</v>
      </c>
      <c r="B64" t="s">
        <v>542</v>
      </c>
      <c r="C64" t="s">
        <v>543</v>
      </c>
      <c r="D64" t="s">
        <v>496</v>
      </c>
    </row>
    <row r="65" spans="1:4" x14ac:dyDescent="0.25">
      <c r="A65">
        <v>64</v>
      </c>
      <c r="B65" t="s">
        <v>544</v>
      </c>
      <c r="C65" t="s">
        <v>545</v>
      </c>
      <c r="D65" t="s">
        <v>546</v>
      </c>
    </row>
    <row r="66" spans="1:4" x14ac:dyDescent="0.25">
      <c r="A66">
        <v>65</v>
      </c>
      <c r="B66" t="s">
        <v>547</v>
      </c>
      <c r="C66" t="s">
        <v>548</v>
      </c>
    </row>
    <row r="67" spans="1:4" x14ac:dyDescent="0.25">
      <c r="A67">
        <v>66</v>
      </c>
      <c r="B67" t="s">
        <v>549</v>
      </c>
      <c r="C67" t="s">
        <v>550</v>
      </c>
      <c r="D67" t="s">
        <v>551</v>
      </c>
    </row>
    <row r="68" spans="1:4" x14ac:dyDescent="0.25">
      <c r="A68">
        <v>67</v>
      </c>
      <c r="B68" t="s">
        <v>552</v>
      </c>
      <c r="C68" t="s">
        <v>553</v>
      </c>
      <c r="D68" t="s">
        <v>554</v>
      </c>
    </row>
    <row r="69" spans="1:4" x14ac:dyDescent="0.25">
      <c r="A69">
        <v>68</v>
      </c>
      <c r="B69" t="s">
        <v>555</v>
      </c>
      <c r="C69" t="s">
        <v>556</v>
      </c>
    </row>
    <row r="70" spans="1:4" x14ac:dyDescent="0.25">
      <c r="A70">
        <v>69</v>
      </c>
      <c r="B70" t="s">
        <v>557</v>
      </c>
      <c r="C70" t="s">
        <v>558</v>
      </c>
      <c r="D70" t="s">
        <v>393</v>
      </c>
    </row>
    <row r="71" spans="1:4" x14ac:dyDescent="0.25">
      <c r="A71">
        <v>70</v>
      </c>
      <c r="B71" t="s">
        <v>559</v>
      </c>
      <c r="C71" t="s">
        <v>560</v>
      </c>
    </row>
    <row r="72" spans="1:4" x14ac:dyDescent="0.25">
      <c r="A72">
        <v>71</v>
      </c>
      <c r="B72" t="s">
        <v>561</v>
      </c>
      <c r="C72" t="s">
        <v>562</v>
      </c>
      <c r="D72" t="s">
        <v>563</v>
      </c>
    </row>
    <row r="73" spans="1:4" x14ac:dyDescent="0.25">
      <c r="A73">
        <v>72</v>
      </c>
      <c r="B73" t="s">
        <v>564</v>
      </c>
      <c r="C73" t="s">
        <v>565</v>
      </c>
      <c r="D73" t="s">
        <v>409</v>
      </c>
    </row>
    <row r="74" spans="1:4" x14ac:dyDescent="0.25">
      <c r="A74">
        <v>73</v>
      </c>
      <c r="B74" t="s">
        <v>566</v>
      </c>
      <c r="C74" t="s">
        <v>567</v>
      </c>
      <c r="D74" t="s">
        <v>396</v>
      </c>
    </row>
    <row r="75" spans="1:4" x14ac:dyDescent="0.25">
      <c r="A75">
        <v>74</v>
      </c>
      <c r="B75" t="s">
        <v>568</v>
      </c>
      <c r="C75" t="s">
        <v>569</v>
      </c>
      <c r="D75" t="s">
        <v>541</v>
      </c>
    </row>
    <row r="76" spans="1:4" x14ac:dyDescent="0.25">
      <c r="A76">
        <v>75</v>
      </c>
      <c r="B76" t="s">
        <v>570</v>
      </c>
      <c r="C76" t="s">
        <v>571</v>
      </c>
      <c r="D76" t="s">
        <v>572</v>
      </c>
    </row>
    <row r="77" spans="1:4" x14ac:dyDescent="0.25">
      <c r="A77">
        <v>76</v>
      </c>
      <c r="B77" t="s">
        <v>573</v>
      </c>
      <c r="C77" t="s">
        <v>574</v>
      </c>
    </row>
    <row r="78" spans="1:4" x14ac:dyDescent="0.25">
      <c r="A78">
        <v>77</v>
      </c>
      <c r="B78" t="s">
        <v>575</v>
      </c>
      <c r="C78" t="s">
        <v>576</v>
      </c>
      <c r="D78" t="s">
        <v>577</v>
      </c>
    </row>
    <row r="79" spans="1:4" x14ac:dyDescent="0.25">
      <c r="A79">
        <v>78</v>
      </c>
      <c r="B79" t="s">
        <v>578</v>
      </c>
      <c r="C79" t="s">
        <v>579</v>
      </c>
      <c r="D79" t="s">
        <v>396</v>
      </c>
    </row>
    <row r="80" spans="1:4" x14ac:dyDescent="0.25">
      <c r="A80">
        <v>79</v>
      </c>
      <c r="B80" t="s">
        <v>580</v>
      </c>
      <c r="C80" t="s">
        <v>581</v>
      </c>
    </row>
    <row r="81" spans="1:4" x14ac:dyDescent="0.25">
      <c r="A81">
        <v>80</v>
      </c>
      <c r="B81" t="s">
        <v>582</v>
      </c>
      <c r="C81" t="s">
        <v>583</v>
      </c>
      <c r="D81" t="s">
        <v>412</v>
      </c>
    </row>
    <row r="82" spans="1:4" x14ac:dyDescent="0.25">
      <c r="A82">
        <v>81</v>
      </c>
      <c r="B82" t="s">
        <v>584</v>
      </c>
      <c r="C82" t="s">
        <v>585</v>
      </c>
      <c r="D82" t="s">
        <v>586</v>
      </c>
    </row>
    <row r="83" spans="1:4" x14ac:dyDescent="0.25">
      <c r="A83">
        <v>82</v>
      </c>
      <c r="B83" t="s">
        <v>587</v>
      </c>
      <c r="C83" t="s">
        <v>588</v>
      </c>
      <c r="D83" t="s">
        <v>589</v>
      </c>
    </row>
    <row r="84" spans="1:4" x14ac:dyDescent="0.25">
      <c r="A84">
        <v>83</v>
      </c>
      <c r="B84" t="s">
        <v>590</v>
      </c>
      <c r="C84" t="s">
        <v>591</v>
      </c>
      <c r="D84" t="s">
        <v>592</v>
      </c>
    </row>
    <row r="85" spans="1:4" x14ac:dyDescent="0.25">
      <c r="A85">
        <v>84</v>
      </c>
      <c r="B85" t="s">
        <v>593</v>
      </c>
      <c r="C85" t="s">
        <v>594</v>
      </c>
      <c r="D85" t="s">
        <v>393</v>
      </c>
    </row>
    <row r="86" spans="1:4" x14ac:dyDescent="0.25">
      <c r="A86">
        <v>85</v>
      </c>
      <c r="B86" t="s">
        <v>595</v>
      </c>
      <c r="C86" t="s">
        <v>596</v>
      </c>
      <c r="D86" t="s">
        <v>597</v>
      </c>
    </row>
    <row r="87" spans="1:4" x14ac:dyDescent="0.25">
      <c r="A87">
        <v>86</v>
      </c>
      <c r="B87" t="s">
        <v>598</v>
      </c>
      <c r="C87" t="s">
        <v>599</v>
      </c>
      <c r="D87" t="s">
        <v>412</v>
      </c>
    </row>
    <row r="88" spans="1:4" x14ac:dyDescent="0.25">
      <c r="A88">
        <v>87</v>
      </c>
      <c r="B88" t="s">
        <v>600</v>
      </c>
      <c r="C88" t="s">
        <v>601</v>
      </c>
      <c r="D88" t="s">
        <v>404</v>
      </c>
    </row>
    <row r="89" spans="1:4" x14ac:dyDescent="0.25">
      <c r="A89">
        <v>88</v>
      </c>
      <c r="B89" t="s">
        <v>602</v>
      </c>
      <c r="C89" t="s">
        <v>603</v>
      </c>
      <c r="D89" t="s">
        <v>415</v>
      </c>
    </row>
    <row r="90" spans="1:4" x14ac:dyDescent="0.25">
      <c r="A90">
        <v>89</v>
      </c>
      <c r="B90" t="s">
        <v>604</v>
      </c>
      <c r="C90" t="s">
        <v>605</v>
      </c>
      <c r="D90" t="s">
        <v>586</v>
      </c>
    </row>
    <row r="91" spans="1:4" x14ac:dyDescent="0.25">
      <c r="A91">
        <v>90</v>
      </c>
      <c r="B91" t="s">
        <v>606</v>
      </c>
      <c r="C91" t="s">
        <v>607</v>
      </c>
      <c r="D91" t="s">
        <v>409</v>
      </c>
    </row>
    <row r="92" spans="1:4" x14ac:dyDescent="0.25">
      <c r="A92">
        <v>91</v>
      </c>
      <c r="B92" t="s">
        <v>608</v>
      </c>
      <c r="C92" t="s">
        <v>609</v>
      </c>
      <c r="D92" t="s">
        <v>409</v>
      </c>
    </row>
    <row r="93" spans="1:4" x14ac:dyDescent="0.25">
      <c r="A93">
        <v>92</v>
      </c>
      <c r="B93" t="s">
        <v>610</v>
      </c>
      <c r="C93" t="s">
        <v>611</v>
      </c>
      <c r="D93" t="s">
        <v>612</v>
      </c>
    </row>
    <row r="94" spans="1:4" x14ac:dyDescent="0.25">
      <c r="A94">
        <v>93</v>
      </c>
      <c r="B94" t="s">
        <v>613</v>
      </c>
      <c r="C94" t="s">
        <v>614</v>
      </c>
      <c r="D94" t="s">
        <v>504</v>
      </c>
    </row>
    <row r="95" spans="1:4" x14ac:dyDescent="0.25">
      <c r="A95">
        <v>94</v>
      </c>
      <c r="B95" t="s">
        <v>615</v>
      </c>
      <c r="C95" t="s">
        <v>616</v>
      </c>
      <c r="D95" t="s">
        <v>526</v>
      </c>
    </row>
    <row r="96" spans="1:4" x14ac:dyDescent="0.25">
      <c r="A96">
        <v>95</v>
      </c>
      <c r="B96" t="s">
        <v>617</v>
      </c>
      <c r="C96" t="s">
        <v>618</v>
      </c>
      <c r="D96" t="s">
        <v>454</v>
      </c>
    </row>
    <row r="97" spans="1:4" x14ac:dyDescent="0.25">
      <c r="A97">
        <v>96</v>
      </c>
      <c r="B97" t="s">
        <v>619</v>
      </c>
      <c r="C97" t="s">
        <v>620</v>
      </c>
      <c r="D97" t="s">
        <v>621</v>
      </c>
    </row>
    <row r="98" spans="1:4" x14ac:dyDescent="0.25">
      <c r="A98">
        <v>97</v>
      </c>
      <c r="B98" t="s">
        <v>622</v>
      </c>
      <c r="C98" t="s">
        <v>623</v>
      </c>
      <c r="D98" t="s">
        <v>483</v>
      </c>
    </row>
    <row r="99" spans="1:4" x14ac:dyDescent="0.25">
      <c r="A99">
        <v>98</v>
      </c>
      <c r="B99" t="s">
        <v>624</v>
      </c>
      <c r="C99" t="s">
        <v>625</v>
      </c>
      <c r="D99" t="s">
        <v>626</v>
      </c>
    </row>
    <row r="100" spans="1:4" x14ac:dyDescent="0.25">
      <c r="A100">
        <v>99</v>
      </c>
      <c r="B100" t="s">
        <v>627</v>
      </c>
      <c r="C100" t="s">
        <v>628</v>
      </c>
      <c r="D100" t="s">
        <v>434</v>
      </c>
    </row>
    <row r="101" spans="1:4" x14ac:dyDescent="0.25">
      <c r="A101">
        <v>100</v>
      </c>
      <c r="B101" t="s">
        <v>629</v>
      </c>
      <c r="C101" t="s">
        <v>630</v>
      </c>
      <c r="D101" t="s">
        <v>454</v>
      </c>
    </row>
    <row r="102" spans="1:4" x14ac:dyDescent="0.25">
      <c r="A102">
        <v>101</v>
      </c>
      <c r="B102" t="s">
        <v>631</v>
      </c>
      <c r="C102" t="s">
        <v>632</v>
      </c>
      <c r="D102" t="s">
        <v>633</v>
      </c>
    </row>
    <row r="103" spans="1:4" x14ac:dyDescent="0.25">
      <c r="A103">
        <v>102</v>
      </c>
      <c r="B103" t="s">
        <v>634</v>
      </c>
      <c r="C103" t="s">
        <v>635</v>
      </c>
      <c r="D103" t="s">
        <v>636</v>
      </c>
    </row>
    <row r="104" spans="1:4" x14ac:dyDescent="0.25">
      <c r="A104">
        <v>103</v>
      </c>
      <c r="B104" t="s">
        <v>637</v>
      </c>
      <c r="C104" t="s">
        <v>638</v>
      </c>
    </row>
    <row r="105" spans="1:4" x14ac:dyDescent="0.25">
      <c r="A105">
        <v>104</v>
      </c>
      <c r="B105" t="s">
        <v>639</v>
      </c>
      <c r="C105" t="s">
        <v>640</v>
      </c>
      <c r="D105" t="s">
        <v>404</v>
      </c>
    </row>
    <row r="106" spans="1:4" x14ac:dyDescent="0.25">
      <c r="A106">
        <v>105</v>
      </c>
      <c r="B106" t="s">
        <v>641</v>
      </c>
      <c r="C106" t="s">
        <v>642</v>
      </c>
      <c r="D106" t="s">
        <v>423</v>
      </c>
    </row>
    <row r="107" spans="1:4" x14ac:dyDescent="0.25">
      <c r="A107">
        <v>106</v>
      </c>
      <c r="B107" t="s">
        <v>643</v>
      </c>
      <c r="C107" t="s">
        <v>644</v>
      </c>
      <c r="D107" t="s">
        <v>404</v>
      </c>
    </row>
    <row r="108" spans="1:4" x14ac:dyDescent="0.25">
      <c r="A108">
        <v>107</v>
      </c>
      <c r="B108" t="s">
        <v>645</v>
      </c>
      <c r="C108" t="s">
        <v>646</v>
      </c>
      <c r="D108" t="s">
        <v>454</v>
      </c>
    </row>
    <row r="109" spans="1:4" x14ac:dyDescent="0.25">
      <c r="A109">
        <v>108</v>
      </c>
      <c r="B109" t="s">
        <v>647</v>
      </c>
      <c r="C109" t="s">
        <v>648</v>
      </c>
      <c r="D109" t="s">
        <v>649</v>
      </c>
    </row>
    <row r="110" spans="1:4" x14ac:dyDescent="0.25">
      <c r="A110">
        <v>109</v>
      </c>
      <c r="B110" t="s">
        <v>650</v>
      </c>
      <c r="C110" t="s">
        <v>651</v>
      </c>
      <c r="D110" t="s">
        <v>546</v>
      </c>
    </row>
    <row r="111" spans="1:4" x14ac:dyDescent="0.25">
      <c r="A111">
        <v>110</v>
      </c>
      <c r="B111" t="s">
        <v>652</v>
      </c>
      <c r="C111" t="s">
        <v>653</v>
      </c>
      <c r="D111" t="s">
        <v>654</v>
      </c>
    </row>
    <row r="112" spans="1:4" x14ac:dyDescent="0.25">
      <c r="A112">
        <v>111</v>
      </c>
      <c r="B112" t="s">
        <v>655</v>
      </c>
      <c r="C112" t="s">
        <v>656</v>
      </c>
      <c r="D112" t="s">
        <v>657</v>
      </c>
    </row>
    <row r="113" spans="1:4" x14ac:dyDescent="0.25">
      <c r="A113">
        <v>112</v>
      </c>
      <c r="B113" t="s">
        <v>658</v>
      </c>
      <c r="C113" t="s">
        <v>659</v>
      </c>
      <c r="D113" t="s">
        <v>393</v>
      </c>
    </row>
    <row r="114" spans="1:4" x14ac:dyDescent="0.25">
      <c r="A114">
        <v>113</v>
      </c>
      <c r="B114" t="s">
        <v>660</v>
      </c>
      <c r="C114" t="s">
        <v>661</v>
      </c>
      <c r="D114" t="s">
        <v>409</v>
      </c>
    </row>
    <row r="115" spans="1:4" x14ac:dyDescent="0.25">
      <c r="A115">
        <v>114</v>
      </c>
      <c r="B115" t="s">
        <v>662</v>
      </c>
      <c r="C115" t="s">
        <v>663</v>
      </c>
      <c r="D115" t="s">
        <v>589</v>
      </c>
    </row>
    <row r="116" spans="1:4" x14ac:dyDescent="0.25">
      <c r="A116">
        <v>115</v>
      </c>
      <c r="B116" t="s">
        <v>664</v>
      </c>
      <c r="C116" t="s">
        <v>665</v>
      </c>
      <c r="D116" t="s">
        <v>496</v>
      </c>
    </row>
    <row r="117" spans="1:4" x14ac:dyDescent="0.25">
      <c r="A117">
        <v>116</v>
      </c>
      <c r="B117" t="s">
        <v>666</v>
      </c>
      <c r="C117" t="s">
        <v>667</v>
      </c>
    </row>
    <row r="118" spans="1:4" x14ac:dyDescent="0.25">
      <c r="A118">
        <v>117</v>
      </c>
      <c r="B118" t="s">
        <v>668</v>
      </c>
      <c r="C118" t="s">
        <v>669</v>
      </c>
      <c r="D118" t="s">
        <v>670</v>
      </c>
    </row>
    <row r="119" spans="1:4" x14ac:dyDescent="0.25">
      <c r="A119">
        <v>118</v>
      </c>
      <c r="B119" t="s">
        <v>671</v>
      </c>
      <c r="C119" t="s">
        <v>672</v>
      </c>
      <c r="D119" t="s">
        <v>589</v>
      </c>
    </row>
    <row r="120" spans="1:4" x14ac:dyDescent="0.25">
      <c r="A120">
        <v>119</v>
      </c>
      <c r="B120" t="s">
        <v>673</v>
      </c>
      <c r="C120" t="s">
        <v>674</v>
      </c>
      <c r="D120" t="s">
        <v>529</v>
      </c>
    </row>
    <row r="121" spans="1:4" x14ac:dyDescent="0.25">
      <c r="A121">
        <v>120</v>
      </c>
      <c r="B121" t="s">
        <v>675</v>
      </c>
      <c r="C121" t="s">
        <v>676</v>
      </c>
      <c r="D121" t="s">
        <v>677</v>
      </c>
    </row>
    <row r="122" spans="1:4" x14ac:dyDescent="0.25">
      <c r="A122">
        <v>121</v>
      </c>
      <c r="B122" t="s">
        <v>678</v>
      </c>
      <c r="C122" t="s">
        <v>679</v>
      </c>
      <c r="D122" t="s">
        <v>621</v>
      </c>
    </row>
    <row r="123" spans="1:4" x14ac:dyDescent="0.25">
      <c r="A123">
        <v>122</v>
      </c>
      <c r="B123" t="s">
        <v>680</v>
      </c>
      <c r="C123" t="s">
        <v>681</v>
      </c>
      <c r="D123" t="s">
        <v>621</v>
      </c>
    </row>
    <row r="124" spans="1:4" x14ac:dyDescent="0.25">
      <c r="A124">
        <v>123</v>
      </c>
      <c r="B124" t="s">
        <v>682</v>
      </c>
      <c r="C124" t="s">
        <v>683</v>
      </c>
      <c r="D124" t="s">
        <v>621</v>
      </c>
    </row>
    <row r="125" spans="1:4" x14ac:dyDescent="0.25">
      <c r="A125">
        <v>124</v>
      </c>
      <c r="B125" t="s">
        <v>684</v>
      </c>
      <c r="C125" t="s">
        <v>685</v>
      </c>
      <c r="D125" t="s">
        <v>621</v>
      </c>
    </row>
    <row r="126" spans="1:4" x14ac:dyDescent="0.25">
      <c r="A126">
        <v>125</v>
      </c>
      <c r="B126" t="s">
        <v>686</v>
      </c>
      <c r="C126" t="s">
        <v>687</v>
      </c>
      <c r="D126" t="s">
        <v>621</v>
      </c>
    </row>
    <row r="127" spans="1:4" x14ac:dyDescent="0.25">
      <c r="A127">
        <v>126</v>
      </c>
      <c r="B127" t="s">
        <v>688</v>
      </c>
      <c r="C127" t="s">
        <v>689</v>
      </c>
      <c r="D127" t="s">
        <v>393</v>
      </c>
    </row>
    <row r="128" spans="1:4" x14ac:dyDescent="0.25">
      <c r="A128">
        <v>127</v>
      </c>
      <c r="B128" t="s">
        <v>690</v>
      </c>
    </row>
    <row r="129" spans="1:4" x14ac:dyDescent="0.25">
      <c r="A129">
        <v>128</v>
      </c>
      <c r="B129" t="s">
        <v>262</v>
      </c>
      <c r="C129" t="s">
        <v>691</v>
      </c>
      <c r="D129" t="s">
        <v>393</v>
      </c>
    </row>
    <row r="130" spans="1:4" x14ac:dyDescent="0.25">
      <c r="A130">
        <v>129</v>
      </c>
      <c r="B130" t="s">
        <v>263</v>
      </c>
      <c r="C130" t="s">
        <v>692</v>
      </c>
      <c r="D130" t="s">
        <v>404</v>
      </c>
    </row>
    <row r="131" spans="1:4" x14ac:dyDescent="0.25">
      <c r="A131">
        <v>130</v>
      </c>
      <c r="B131" t="s">
        <v>264</v>
      </c>
      <c r="C131" t="s">
        <v>693</v>
      </c>
    </row>
    <row r="132" spans="1:4" x14ac:dyDescent="0.25">
      <c r="A132">
        <v>131</v>
      </c>
      <c r="B132" t="s">
        <v>265</v>
      </c>
      <c r="C132" t="s">
        <v>694</v>
      </c>
      <c r="D132" t="s">
        <v>393</v>
      </c>
    </row>
    <row r="133" spans="1:4" x14ac:dyDescent="0.25">
      <c r="A133">
        <v>132</v>
      </c>
      <c r="B133" t="s">
        <v>266</v>
      </c>
      <c r="C133" t="s">
        <v>695</v>
      </c>
      <c r="D133" t="s">
        <v>696</v>
      </c>
    </row>
    <row r="134" spans="1:4" x14ac:dyDescent="0.25">
      <c r="A134">
        <v>133</v>
      </c>
      <c r="B134" t="s">
        <v>267</v>
      </c>
      <c r="C134" t="s">
        <v>697</v>
      </c>
      <c r="D134" t="s">
        <v>657</v>
      </c>
    </row>
    <row r="135" spans="1:4" x14ac:dyDescent="0.25">
      <c r="A135">
        <v>134</v>
      </c>
      <c r="B135" t="s">
        <v>268</v>
      </c>
      <c r="C135" t="s">
        <v>698</v>
      </c>
    </row>
    <row r="136" spans="1:4" x14ac:dyDescent="0.25">
      <c r="A136">
        <v>135</v>
      </c>
      <c r="B136" t="s">
        <v>269</v>
      </c>
      <c r="C136" t="s">
        <v>699</v>
      </c>
    </row>
    <row r="137" spans="1:4" x14ac:dyDescent="0.25">
      <c r="A137">
        <v>136</v>
      </c>
      <c r="B137" t="s">
        <v>270</v>
      </c>
      <c r="C137" t="s">
        <v>700</v>
      </c>
    </row>
    <row r="138" spans="1:4" x14ac:dyDescent="0.25">
      <c r="A138">
        <v>137</v>
      </c>
      <c r="B138" t="s">
        <v>272</v>
      </c>
      <c r="C138" t="s">
        <v>701</v>
      </c>
      <c r="D138" t="s">
        <v>393</v>
      </c>
    </row>
    <row r="139" spans="1:4" x14ac:dyDescent="0.25">
      <c r="A139">
        <v>138</v>
      </c>
      <c r="B139" t="s">
        <v>274</v>
      </c>
      <c r="C139" t="s">
        <v>702</v>
      </c>
      <c r="D139" t="s">
        <v>393</v>
      </c>
    </row>
    <row r="140" spans="1:4" x14ac:dyDescent="0.25">
      <c r="A140">
        <v>139</v>
      </c>
      <c r="B140" t="s">
        <v>275</v>
      </c>
      <c r="C140" t="s">
        <v>703</v>
      </c>
      <c r="D140" t="s">
        <v>704</v>
      </c>
    </row>
    <row r="141" spans="1:4" x14ac:dyDescent="0.25">
      <c r="A141">
        <v>140</v>
      </c>
      <c r="B141" t="s">
        <v>276</v>
      </c>
      <c r="C141" t="s">
        <v>705</v>
      </c>
      <c r="D141" t="s">
        <v>431</v>
      </c>
    </row>
    <row r="142" spans="1:4" x14ac:dyDescent="0.25">
      <c r="A142">
        <v>141</v>
      </c>
      <c r="B142" t="s">
        <v>277</v>
      </c>
      <c r="C142" t="s">
        <v>706</v>
      </c>
      <c r="D142" t="s">
        <v>415</v>
      </c>
    </row>
    <row r="143" spans="1:4" x14ac:dyDescent="0.25">
      <c r="A143">
        <v>142</v>
      </c>
      <c r="B143" t="s">
        <v>278</v>
      </c>
      <c r="C143" t="s">
        <v>707</v>
      </c>
    </row>
    <row r="144" spans="1:4" x14ac:dyDescent="0.25">
      <c r="A144">
        <v>143</v>
      </c>
      <c r="B144" t="s">
        <v>279</v>
      </c>
      <c r="C144" t="s">
        <v>708</v>
      </c>
      <c r="D144" t="s">
        <v>654</v>
      </c>
    </row>
    <row r="145" spans="1:4" x14ac:dyDescent="0.25">
      <c r="A145">
        <v>144</v>
      </c>
      <c r="B145" t="s">
        <v>280</v>
      </c>
      <c r="C145" t="s">
        <v>709</v>
      </c>
      <c r="D145" t="s">
        <v>657</v>
      </c>
    </row>
    <row r="146" spans="1:4" x14ac:dyDescent="0.25">
      <c r="A146">
        <v>145</v>
      </c>
      <c r="B146" t="s">
        <v>281</v>
      </c>
      <c r="C146" t="s">
        <v>710</v>
      </c>
      <c r="D146" t="s">
        <v>404</v>
      </c>
    </row>
    <row r="147" spans="1:4" x14ac:dyDescent="0.25">
      <c r="A147">
        <v>146</v>
      </c>
      <c r="B147" t="s">
        <v>282</v>
      </c>
      <c r="C147" t="s">
        <v>711</v>
      </c>
      <c r="D147" t="s">
        <v>696</v>
      </c>
    </row>
    <row r="148" spans="1:4" x14ac:dyDescent="0.25">
      <c r="A148">
        <v>147</v>
      </c>
      <c r="B148" t="s">
        <v>283</v>
      </c>
      <c r="C148" t="s">
        <v>712</v>
      </c>
      <c r="D148" t="s">
        <v>713</v>
      </c>
    </row>
    <row r="149" spans="1:4" x14ac:dyDescent="0.25">
      <c r="A149">
        <v>148</v>
      </c>
      <c r="B149" t="s">
        <v>284</v>
      </c>
      <c r="C149" t="s">
        <v>714</v>
      </c>
      <c r="D149" t="s">
        <v>715</v>
      </c>
    </row>
    <row r="150" spans="1:4" x14ac:dyDescent="0.25">
      <c r="A150">
        <v>149</v>
      </c>
      <c r="B150" t="s">
        <v>285</v>
      </c>
      <c r="C150" t="s">
        <v>716</v>
      </c>
    </row>
    <row r="151" spans="1:4" x14ac:dyDescent="0.25">
      <c r="A151">
        <v>150</v>
      </c>
      <c r="B151" t="s">
        <v>286</v>
      </c>
      <c r="C151" t="s">
        <v>717</v>
      </c>
      <c r="D151" t="s">
        <v>404</v>
      </c>
    </row>
    <row r="152" spans="1:4" x14ac:dyDescent="0.25">
      <c r="A152">
        <v>151</v>
      </c>
      <c r="B152" t="s">
        <v>288</v>
      </c>
      <c r="C152" t="s">
        <v>718</v>
      </c>
    </row>
    <row r="153" spans="1:4" x14ac:dyDescent="0.25">
      <c r="A153">
        <v>152</v>
      </c>
      <c r="B153" t="s">
        <v>290</v>
      </c>
      <c r="C153" t="s">
        <v>719</v>
      </c>
    </row>
    <row r="154" spans="1:4" x14ac:dyDescent="0.25">
      <c r="A154">
        <v>153</v>
      </c>
      <c r="B154" t="s">
        <v>292</v>
      </c>
      <c r="C154" t="s">
        <v>720</v>
      </c>
      <c r="D154" t="s">
        <v>412</v>
      </c>
    </row>
    <row r="155" spans="1:4" x14ac:dyDescent="0.25">
      <c r="A155">
        <v>154</v>
      </c>
      <c r="B155" t="s">
        <v>293</v>
      </c>
      <c r="C155" t="s">
        <v>721</v>
      </c>
    </row>
    <row r="156" spans="1:4" x14ac:dyDescent="0.25">
      <c r="A156">
        <v>155</v>
      </c>
      <c r="B156" t="s">
        <v>294</v>
      </c>
      <c r="C156" t="s">
        <v>722</v>
      </c>
    </row>
    <row r="157" spans="1:4" x14ac:dyDescent="0.25">
      <c r="A157">
        <v>156</v>
      </c>
      <c r="B157" t="s">
        <v>295</v>
      </c>
      <c r="C157" t="s">
        <v>723</v>
      </c>
      <c r="D157" t="s">
        <v>715</v>
      </c>
    </row>
    <row r="158" spans="1:4" x14ac:dyDescent="0.25">
      <c r="A158">
        <v>157</v>
      </c>
      <c r="B158" t="s">
        <v>296</v>
      </c>
      <c r="C158" t="s">
        <v>724</v>
      </c>
    </row>
    <row r="159" spans="1:4" x14ac:dyDescent="0.25">
      <c r="A159">
        <v>158</v>
      </c>
      <c r="B159" t="s">
        <v>297</v>
      </c>
      <c r="C159" t="s">
        <v>725</v>
      </c>
    </row>
    <row r="160" spans="1:4" x14ac:dyDescent="0.25">
      <c r="A160">
        <v>159</v>
      </c>
      <c r="B160" t="s">
        <v>298</v>
      </c>
      <c r="C160" t="s">
        <v>726</v>
      </c>
      <c r="D160" t="s">
        <v>727</v>
      </c>
    </row>
    <row r="161" spans="1:4" x14ac:dyDescent="0.25">
      <c r="A161">
        <v>160</v>
      </c>
      <c r="B161" t="s">
        <v>299</v>
      </c>
      <c r="C161" t="s">
        <v>728</v>
      </c>
      <c r="D161" t="s">
        <v>727</v>
      </c>
    </row>
    <row r="162" spans="1:4" x14ac:dyDescent="0.25">
      <c r="A162">
        <v>161</v>
      </c>
      <c r="B162" t="s">
        <v>300</v>
      </c>
      <c r="C162" t="s">
        <v>729</v>
      </c>
    </row>
    <row r="163" spans="1:4" x14ac:dyDescent="0.25">
      <c r="A163">
        <v>162</v>
      </c>
      <c r="B163" t="s">
        <v>301</v>
      </c>
      <c r="C163" t="s">
        <v>730</v>
      </c>
    </row>
    <row r="164" spans="1:4" x14ac:dyDescent="0.25">
      <c r="A164">
        <v>163</v>
      </c>
      <c r="B164" t="s">
        <v>302</v>
      </c>
      <c r="C164" t="s">
        <v>731</v>
      </c>
      <c r="D164" t="s">
        <v>732</v>
      </c>
    </row>
    <row r="165" spans="1:4" x14ac:dyDescent="0.25">
      <c r="A165">
        <v>164</v>
      </c>
      <c r="B165" t="s">
        <v>303</v>
      </c>
      <c r="C165" t="s">
        <v>733</v>
      </c>
      <c r="D165" t="s">
        <v>404</v>
      </c>
    </row>
    <row r="166" spans="1:4" x14ac:dyDescent="0.25">
      <c r="A166">
        <v>165</v>
      </c>
      <c r="B166" t="s">
        <v>304</v>
      </c>
      <c r="C166" t="s">
        <v>734</v>
      </c>
    </row>
    <row r="167" spans="1:4" x14ac:dyDescent="0.25">
      <c r="A167">
        <v>166</v>
      </c>
      <c r="B167" t="s">
        <v>305</v>
      </c>
      <c r="C167" t="s">
        <v>735</v>
      </c>
      <c r="D167" t="s">
        <v>736</v>
      </c>
    </row>
    <row r="168" spans="1:4" x14ac:dyDescent="0.25">
      <c r="A168">
        <v>167</v>
      </c>
      <c r="B168" t="s">
        <v>306</v>
      </c>
      <c r="C168" t="s">
        <v>737</v>
      </c>
    </row>
    <row r="169" spans="1:4" x14ac:dyDescent="0.25">
      <c r="A169">
        <v>168</v>
      </c>
      <c r="B169" t="s">
        <v>307</v>
      </c>
      <c r="C169" t="s">
        <v>738</v>
      </c>
      <c r="D169" t="s">
        <v>739</v>
      </c>
    </row>
    <row r="170" spans="1:4" x14ac:dyDescent="0.25">
      <c r="A170">
        <v>169</v>
      </c>
      <c r="B170" t="s">
        <v>308</v>
      </c>
      <c r="C170" t="s">
        <v>740</v>
      </c>
    </row>
    <row r="171" spans="1:4" x14ac:dyDescent="0.25">
      <c r="A171">
        <v>170</v>
      </c>
      <c r="B171" t="s">
        <v>309</v>
      </c>
      <c r="C171" t="s">
        <v>741</v>
      </c>
      <c r="D171" t="s">
        <v>742</v>
      </c>
    </row>
    <row r="172" spans="1:4" x14ac:dyDescent="0.25">
      <c r="A172">
        <v>171</v>
      </c>
      <c r="B172" t="s">
        <v>310</v>
      </c>
      <c r="C172" t="s">
        <v>743</v>
      </c>
      <c r="D172" t="s">
        <v>744</v>
      </c>
    </row>
    <row r="173" spans="1:4" x14ac:dyDescent="0.25">
      <c r="A173">
        <v>172</v>
      </c>
      <c r="B173" t="s">
        <v>311</v>
      </c>
      <c r="C173" t="s">
        <v>745</v>
      </c>
    </row>
    <row r="174" spans="1:4" x14ac:dyDescent="0.25">
      <c r="A174">
        <v>173</v>
      </c>
      <c r="B174" t="s">
        <v>312</v>
      </c>
      <c r="C174" t="s">
        <v>746</v>
      </c>
      <c r="D174" t="s">
        <v>404</v>
      </c>
    </row>
    <row r="175" spans="1:4" x14ac:dyDescent="0.25">
      <c r="A175">
        <v>174</v>
      </c>
      <c r="B175" t="s">
        <v>313</v>
      </c>
      <c r="C175" t="s">
        <v>747</v>
      </c>
      <c r="D175" t="s">
        <v>404</v>
      </c>
    </row>
    <row r="176" spans="1:4" x14ac:dyDescent="0.25">
      <c r="A176">
        <v>175</v>
      </c>
      <c r="B176" t="s">
        <v>314</v>
      </c>
      <c r="C176" t="s">
        <v>748</v>
      </c>
    </row>
    <row r="177" spans="1:4" x14ac:dyDescent="0.25">
      <c r="A177">
        <v>176</v>
      </c>
      <c r="B177" t="s">
        <v>315</v>
      </c>
      <c r="C177" t="s">
        <v>749</v>
      </c>
    </row>
    <row r="178" spans="1:4" x14ac:dyDescent="0.25">
      <c r="A178">
        <v>177</v>
      </c>
      <c r="B178" t="s">
        <v>316</v>
      </c>
      <c r="C178" t="s">
        <v>750</v>
      </c>
      <c r="D178" t="s">
        <v>657</v>
      </c>
    </row>
    <row r="179" spans="1:4" x14ac:dyDescent="0.25">
      <c r="A179">
        <v>178</v>
      </c>
      <c r="B179" t="s">
        <v>317</v>
      </c>
      <c r="C179" t="s">
        <v>751</v>
      </c>
    </row>
    <row r="180" spans="1:4" x14ac:dyDescent="0.25">
      <c r="A180">
        <v>179</v>
      </c>
      <c r="B180" t="s">
        <v>318</v>
      </c>
      <c r="C180" t="s">
        <v>752</v>
      </c>
      <c r="D180" t="s">
        <v>727</v>
      </c>
    </row>
    <row r="181" spans="1:4" x14ac:dyDescent="0.25">
      <c r="A181">
        <v>180</v>
      </c>
      <c r="B181" t="s">
        <v>319</v>
      </c>
      <c r="C181" t="s">
        <v>753</v>
      </c>
      <c r="D181" t="s">
        <v>754</v>
      </c>
    </row>
    <row r="182" spans="1:4" x14ac:dyDescent="0.25">
      <c r="A182">
        <v>181</v>
      </c>
      <c r="B182" t="s">
        <v>320</v>
      </c>
      <c r="C182" t="s">
        <v>755</v>
      </c>
    </row>
    <row r="183" spans="1:4" x14ac:dyDescent="0.25">
      <c r="A183">
        <v>182</v>
      </c>
      <c r="B183" t="s">
        <v>321</v>
      </c>
      <c r="C183" t="s">
        <v>756</v>
      </c>
    </row>
    <row r="184" spans="1:4" x14ac:dyDescent="0.25">
      <c r="A184">
        <v>183</v>
      </c>
      <c r="B184" t="s">
        <v>322</v>
      </c>
      <c r="C184" t="s">
        <v>757</v>
      </c>
    </row>
    <row r="185" spans="1:4" x14ac:dyDescent="0.25">
      <c r="A185">
        <v>184</v>
      </c>
      <c r="B185" t="s">
        <v>323</v>
      </c>
      <c r="C185" t="s">
        <v>758</v>
      </c>
    </row>
    <row r="186" spans="1:4" x14ac:dyDescent="0.25">
      <c r="A186">
        <v>185</v>
      </c>
      <c r="B186" t="s">
        <v>324</v>
      </c>
      <c r="C186" t="s">
        <v>759</v>
      </c>
      <c r="D186" t="s">
        <v>404</v>
      </c>
    </row>
    <row r="187" spans="1:4" x14ac:dyDescent="0.25">
      <c r="A187">
        <v>186</v>
      </c>
      <c r="B187" t="s">
        <v>326</v>
      </c>
      <c r="C187" t="s">
        <v>760</v>
      </c>
    </row>
    <row r="188" spans="1:4" x14ac:dyDescent="0.25">
      <c r="A188">
        <v>187</v>
      </c>
      <c r="B188" t="s">
        <v>327</v>
      </c>
      <c r="C188" t="s">
        <v>761</v>
      </c>
    </row>
    <row r="189" spans="1:4" x14ac:dyDescent="0.25">
      <c r="A189">
        <v>188</v>
      </c>
      <c r="B189" t="s">
        <v>328</v>
      </c>
      <c r="C189" t="s">
        <v>762</v>
      </c>
    </row>
    <row r="190" spans="1:4" x14ac:dyDescent="0.25">
      <c r="A190">
        <v>189</v>
      </c>
      <c r="B190" t="s">
        <v>329</v>
      </c>
      <c r="C190" t="s">
        <v>763</v>
      </c>
    </row>
    <row r="191" spans="1:4" x14ac:dyDescent="0.25">
      <c r="A191">
        <v>190</v>
      </c>
      <c r="B191" t="s">
        <v>330</v>
      </c>
      <c r="C191" t="s">
        <v>764</v>
      </c>
    </row>
    <row r="192" spans="1:4" x14ac:dyDescent="0.25">
      <c r="A192">
        <v>191</v>
      </c>
      <c r="B192" t="s">
        <v>331</v>
      </c>
      <c r="C192" t="s">
        <v>765</v>
      </c>
    </row>
    <row r="193" spans="1:4" x14ac:dyDescent="0.25">
      <c r="A193">
        <v>192</v>
      </c>
      <c r="B193" t="s">
        <v>332</v>
      </c>
      <c r="C193" t="s">
        <v>766</v>
      </c>
    </row>
    <row r="194" spans="1:4" x14ac:dyDescent="0.25">
      <c r="A194">
        <v>193</v>
      </c>
      <c r="B194" t="s">
        <v>333</v>
      </c>
      <c r="C194" t="s">
        <v>767</v>
      </c>
    </row>
    <row r="195" spans="1:4" x14ac:dyDescent="0.25">
      <c r="A195">
        <v>194</v>
      </c>
      <c r="B195" t="s">
        <v>335</v>
      </c>
      <c r="C195" t="s">
        <v>768</v>
      </c>
      <c r="D195" t="s">
        <v>409</v>
      </c>
    </row>
    <row r="196" spans="1:4" x14ac:dyDescent="0.25">
      <c r="A196">
        <v>195</v>
      </c>
      <c r="B196" t="s">
        <v>337</v>
      </c>
      <c r="C196" t="s">
        <v>769</v>
      </c>
      <c r="D196" t="s">
        <v>696</v>
      </c>
    </row>
    <row r="197" spans="1:4" x14ac:dyDescent="0.25">
      <c r="A197">
        <v>196</v>
      </c>
      <c r="B197" t="s">
        <v>338</v>
      </c>
      <c r="C197" t="s">
        <v>770</v>
      </c>
      <c r="D197" t="s">
        <v>696</v>
      </c>
    </row>
    <row r="198" spans="1:4" x14ac:dyDescent="0.25">
      <c r="A198">
        <v>197</v>
      </c>
      <c r="B198" t="s">
        <v>339</v>
      </c>
      <c r="C198" t="s">
        <v>771</v>
      </c>
      <c r="D198" t="s">
        <v>696</v>
      </c>
    </row>
    <row r="199" spans="1:4" x14ac:dyDescent="0.25">
      <c r="A199">
        <v>198</v>
      </c>
      <c r="B199" t="s">
        <v>340</v>
      </c>
      <c r="C199" t="s">
        <v>772</v>
      </c>
      <c r="D199" t="s">
        <v>696</v>
      </c>
    </row>
    <row r="200" spans="1:4" x14ac:dyDescent="0.25">
      <c r="A200">
        <v>199</v>
      </c>
      <c r="B200" t="s">
        <v>341</v>
      </c>
      <c r="C200" t="s">
        <v>773</v>
      </c>
      <c r="D200" t="s">
        <v>696</v>
      </c>
    </row>
    <row r="201" spans="1:4" x14ac:dyDescent="0.25">
      <c r="A201">
        <v>200</v>
      </c>
      <c r="B201" t="s">
        <v>342</v>
      </c>
      <c r="C201" t="s">
        <v>774</v>
      </c>
      <c r="D201" t="s">
        <v>696</v>
      </c>
    </row>
    <row r="202" spans="1:4" x14ac:dyDescent="0.25">
      <c r="A202">
        <v>201</v>
      </c>
      <c r="B202" t="s">
        <v>343</v>
      </c>
      <c r="C202" t="s">
        <v>775</v>
      </c>
      <c r="D202" t="s">
        <v>696</v>
      </c>
    </row>
    <row r="203" spans="1:4" x14ac:dyDescent="0.25">
      <c r="A203">
        <v>202</v>
      </c>
      <c r="B203" t="s">
        <v>344</v>
      </c>
      <c r="C203" t="s">
        <v>776</v>
      </c>
      <c r="D203" t="s">
        <v>696</v>
      </c>
    </row>
    <row r="204" spans="1:4" x14ac:dyDescent="0.25">
      <c r="A204">
        <v>203</v>
      </c>
      <c r="B204" t="s">
        <v>345</v>
      </c>
      <c r="C204" t="s">
        <v>777</v>
      </c>
      <c r="D204" t="s">
        <v>696</v>
      </c>
    </row>
    <row r="205" spans="1:4" x14ac:dyDescent="0.25">
      <c r="A205">
        <v>204</v>
      </c>
      <c r="B205" t="s">
        <v>346</v>
      </c>
      <c r="C205" t="s">
        <v>778</v>
      </c>
    </row>
    <row r="206" spans="1:4" x14ac:dyDescent="0.25">
      <c r="A206">
        <v>205</v>
      </c>
      <c r="B206" t="s">
        <v>347</v>
      </c>
      <c r="C206" t="s">
        <v>779</v>
      </c>
    </row>
    <row r="207" spans="1:4" x14ac:dyDescent="0.25">
      <c r="A207">
        <v>206</v>
      </c>
      <c r="B207" t="s">
        <v>348</v>
      </c>
      <c r="C207" t="s">
        <v>780</v>
      </c>
      <c r="D207" t="s">
        <v>781</v>
      </c>
    </row>
    <row r="208" spans="1:4" x14ac:dyDescent="0.25">
      <c r="A208">
        <v>207</v>
      </c>
      <c r="B208" t="s">
        <v>350</v>
      </c>
      <c r="C208" t="s">
        <v>782</v>
      </c>
      <c r="D208" t="s">
        <v>657</v>
      </c>
    </row>
    <row r="209" spans="1:4" x14ac:dyDescent="0.25">
      <c r="A209">
        <v>208</v>
      </c>
      <c r="B209" t="s">
        <v>351</v>
      </c>
      <c r="C209" t="s">
        <v>783</v>
      </c>
      <c r="D209" t="s">
        <v>696</v>
      </c>
    </row>
    <row r="210" spans="1:4" x14ac:dyDescent="0.25">
      <c r="A210">
        <v>209</v>
      </c>
      <c r="B210" t="s">
        <v>352</v>
      </c>
      <c r="C210" t="s">
        <v>784</v>
      </c>
    </row>
    <row r="211" spans="1:4" x14ac:dyDescent="0.25">
      <c r="A211">
        <v>210</v>
      </c>
      <c r="B211" t="s">
        <v>353</v>
      </c>
      <c r="C211" t="s">
        <v>785</v>
      </c>
    </row>
    <row r="212" spans="1:4" x14ac:dyDescent="0.25">
      <c r="A212">
        <v>211</v>
      </c>
      <c r="B212" t="s">
        <v>354</v>
      </c>
      <c r="C212" t="s">
        <v>786</v>
      </c>
    </row>
    <row r="213" spans="1:4" x14ac:dyDescent="0.25">
      <c r="A213">
        <v>212</v>
      </c>
      <c r="B213" t="s">
        <v>355</v>
      </c>
      <c r="C213" t="s">
        <v>787</v>
      </c>
    </row>
    <row r="214" spans="1:4" x14ac:dyDescent="0.25">
      <c r="A214">
        <v>213</v>
      </c>
      <c r="B214" t="s">
        <v>357</v>
      </c>
      <c r="C214" t="s">
        <v>788</v>
      </c>
    </row>
    <row r="215" spans="1:4" x14ac:dyDescent="0.25">
      <c r="A215">
        <v>214</v>
      </c>
      <c r="B215" t="s">
        <v>358</v>
      </c>
      <c r="C215" t="s">
        <v>789</v>
      </c>
    </row>
    <row r="216" spans="1:4" x14ac:dyDescent="0.25">
      <c r="A216">
        <v>215</v>
      </c>
      <c r="B216" t="s">
        <v>359</v>
      </c>
      <c r="C216" t="s">
        <v>790</v>
      </c>
    </row>
    <row r="217" spans="1:4" x14ac:dyDescent="0.25">
      <c r="A217">
        <v>216</v>
      </c>
      <c r="B217" t="s">
        <v>360</v>
      </c>
      <c r="C217" t="s">
        <v>791</v>
      </c>
    </row>
    <row r="218" spans="1:4" x14ac:dyDescent="0.25">
      <c r="A218">
        <v>217</v>
      </c>
      <c r="B218" t="s">
        <v>361</v>
      </c>
      <c r="C218" t="s">
        <v>792</v>
      </c>
    </row>
    <row r="219" spans="1:4" x14ac:dyDescent="0.25">
      <c r="A219">
        <v>218</v>
      </c>
      <c r="B219" t="s">
        <v>362</v>
      </c>
      <c r="C219" t="s">
        <v>793</v>
      </c>
    </row>
    <row r="220" spans="1:4" x14ac:dyDescent="0.25">
      <c r="A220">
        <v>219</v>
      </c>
      <c r="B220" t="s">
        <v>363</v>
      </c>
      <c r="C220" t="s">
        <v>794</v>
      </c>
      <c r="D220" t="s">
        <v>465</v>
      </c>
    </row>
    <row r="221" spans="1:4" x14ac:dyDescent="0.25">
      <c r="A221">
        <v>220</v>
      </c>
      <c r="B221" t="s">
        <v>364</v>
      </c>
      <c r="C221" t="s">
        <v>795</v>
      </c>
      <c r="D221" t="s">
        <v>796</v>
      </c>
    </row>
    <row r="222" spans="1:4" x14ac:dyDescent="0.25">
      <c r="A222">
        <v>221</v>
      </c>
      <c r="B222" t="s">
        <v>366</v>
      </c>
      <c r="C222" t="s">
        <v>797</v>
      </c>
      <c r="D222" t="s">
        <v>465</v>
      </c>
    </row>
    <row r="223" spans="1:4" x14ac:dyDescent="0.25">
      <c r="A223">
        <v>222</v>
      </c>
      <c r="B223" t="s">
        <v>367</v>
      </c>
      <c r="C223" t="s">
        <v>798</v>
      </c>
      <c r="D223" t="s">
        <v>799</v>
      </c>
    </row>
    <row r="224" spans="1:4" x14ac:dyDescent="0.25">
      <c r="A224">
        <v>223</v>
      </c>
      <c r="B224" t="s">
        <v>368</v>
      </c>
      <c r="C224" t="s">
        <v>800</v>
      </c>
      <c r="D224" t="s">
        <v>715</v>
      </c>
    </row>
    <row r="225" spans="1:4" x14ac:dyDescent="0.25">
      <c r="A225">
        <v>224</v>
      </c>
      <c r="B225" t="s">
        <v>369</v>
      </c>
      <c r="C225" t="s">
        <v>801</v>
      </c>
    </row>
    <row r="226" spans="1:4" x14ac:dyDescent="0.25">
      <c r="A226">
        <v>225</v>
      </c>
      <c r="B226" t="s">
        <v>370</v>
      </c>
      <c r="C226" t="s">
        <v>802</v>
      </c>
    </row>
    <row r="227" spans="1:4" x14ac:dyDescent="0.25">
      <c r="A227">
        <v>226</v>
      </c>
      <c r="B227" t="s">
        <v>371</v>
      </c>
      <c r="C227" t="s">
        <v>803</v>
      </c>
    </row>
    <row r="228" spans="1:4" x14ac:dyDescent="0.25">
      <c r="A228">
        <v>227</v>
      </c>
      <c r="B228" t="s">
        <v>372</v>
      </c>
      <c r="C228" t="s">
        <v>804</v>
      </c>
      <c r="D228" t="s">
        <v>396</v>
      </c>
    </row>
    <row r="229" spans="1:4" x14ac:dyDescent="0.25">
      <c r="A229">
        <v>228</v>
      </c>
      <c r="B229" t="s">
        <v>373</v>
      </c>
      <c r="C229" t="s">
        <v>805</v>
      </c>
    </row>
    <row r="230" spans="1:4" x14ac:dyDescent="0.25">
      <c r="A230">
        <v>229</v>
      </c>
      <c r="B230" t="s">
        <v>374</v>
      </c>
      <c r="C230" t="s">
        <v>806</v>
      </c>
    </row>
    <row r="231" spans="1:4" x14ac:dyDescent="0.25">
      <c r="A231">
        <v>230</v>
      </c>
      <c r="B231" t="s">
        <v>375</v>
      </c>
      <c r="C231" t="s">
        <v>807</v>
      </c>
      <c r="D231" t="s">
        <v>412</v>
      </c>
    </row>
    <row r="232" spans="1:4" x14ac:dyDescent="0.25">
      <c r="A232">
        <v>231</v>
      </c>
      <c r="B232" t="s">
        <v>376</v>
      </c>
      <c r="C232" t="s">
        <v>808</v>
      </c>
    </row>
    <row r="233" spans="1:4" x14ac:dyDescent="0.25">
      <c r="A233">
        <v>232</v>
      </c>
      <c r="B233" t="s">
        <v>377</v>
      </c>
      <c r="C233" t="s">
        <v>809</v>
      </c>
      <c r="D233" t="s">
        <v>810</v>
      </c>
    </row>
    <row r="234" spans="1:4" x14ac:dyDescent="0.25">
      <c r="A234">
        <v>233</v>
      </c>
      <c r="B234" t="s">
        <v>378</v>
      </c>
      <c r="C234" t="s">
        <v>811</v>
      </c>
      <c r="D234" t="s">
        <v>393</v>
      </c>
    </row>
    <row r="235" spans="1:4" x14ac:dyDescent="0.25">
      <c r="A235">
        <v>234</v>
      </c>
      <c r="B235" t="s">
        <v>379</v>
      </c>
      <c r="C235" t="s">
        <v>812</v>
      </c>
      <c r="D235" t="s">
        <v>412</v>
      </c>
    </row>
    <row r="236" spans="1:4" x14ac:dyDescent="0.25">
      <c r="A236">
        <v>235</v>
      </c>
      <c r="B236" t="s">
        <v>380</v>
      </c>
      <c r="C236" t="s">
        <v>813</v>
      </c>
    </row>
    <row r="237" spans="1:4" x14ac:dyDescent="0.25">
      <c r="A237">
        <v>236</v>
      </c>
      <c r="B237" t="s">
        <v>381</v>
      </c>
      <c r="C237" t="s">
        <v>814</v>
      </c>
      <c r="D237" t="s">
        <v>404</v>
      </c>
    </row>
    <row r="238" spans="1:4" x14ac:dyDescent="0.25">
      <c r="A238">
        <v>237</v>
      </c>
      <c r="B238" t="s">
        <v>815</v>
      </c>
    </row>
    <row r="239" spans="1:4" x14ac:dyDescent="0.25">
      <c r="A239">
        <v>238</v>
      </c>
      <c r="B239" t="s">
        <v>816</v>
      </c>
      <c r="C239" t="s">
        <v>817</v>
      </c>
    </row>
    <row r="240" spans="1:4" x14ac:dyDescent="0.25">
      <c r="A240">
        <v>239</v>
      </c>
      <c r="B240" t="s">
        <v>818</v>
      </c>
      <c r="C240" t="s">
        <v>819</v>
      </c>
    </row>
    <row r="241" spans="1:4" x14ac:dyDescent="0.25">
      <c r="A241">
        <v>240</v>
      </c>
      <c r="B241" t="s">
        <v>820</v>
      </c>
      <c r="C241" t="s">
        <v>821</v>
      </c>
      <c r="D241" t="s">
        <v>822</v>
      </c>
    </row>
    <row r="242" spans="1:4" x14ac:dyDescent="0.25">
      <c r="A242">
        <v>241</v>
      </c>
      <c r="B242" t="s">
        <v>823</v>
      </c>
      <c r="C242" t="s">
        <v>821</v>
      </c>
      <c r="D242" t="s">
        <v>822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511C8-F825-4CBF-BFFF-816F470B2F0B}">
  <dimension ref="A1:C155"/>
  <sheetViews>
    <sheetView tabSelected="1" workbookViewId="0">
      <selection activeCell="F20" sqref="F20"/>
    </sheetView>
  </sheetViews>
  <sheetFormatPr defaultRowHeight="15" x14ac:dyDescent="0.25"/>
  <cols>
    <col min="2" max="2" width="49" bestFit="1" customWidth="1"/>
  </cols>
  <sheetData>
    <row r="1" spans="1:3" x14ac:dyDescent="0.25">
      <c r="A1" t="s">
        <v>825</v>
      </c>
      <c r="B1" t="s">
        <v>824</v>
      </c>
      <c r="C1" t="s">
        <v>826</v>
      </c>
    </row>
    <row r="2" spans="1:3" x14ac:dyDescent="0.25">
      <c r="A2" t="s">
        <v>7</v>
      </c>
      <c r="B2" t="s">
        <v>827</v>
      </c>
      <c r="C2" t="s">
        <v>828</v>
      </c>
    </row>
    <row r="3" spans="1:3" x14ac:dyDescent="0.25">
      <c r="A3" t="s">
        <v>11</v>
      </c>
      <c r="B3" t="s">
        <v>829</v>
      </c>
      <c r="C3" t="s">
        <v>830</v>
      </c>
    </row>
    <row r="4" spans="1:3" x14ac:dyDescent="0.25">
      <c r="A4" t="s">
        <v>14</v>
      </c>
      <c r="B4" t="s">
        <v>829</v>
      </c>
      <c r="C4" t="s">
        <v>831</v>
      </c>
    </row>
    <row r="5" spans="1:3" x14ac:dyDescent="0.25">
      <c r="A5" t="s">
        <v>16</v>
      </c>
      <c r="B5" t="s">
        <v>832</v>
      </c>
      <c r="C5" t="s">
        <v>833</v>
      </c>
    </row>
    <row r="6" spans="1:3" x14ac:dyDescent="0.25">
      <c r="A6" t="s">
        <v>20</v>
      </c>
      <c r="B6" t="s">
        <v>832</v>
      </c>
      <c r="C6" t="s">
        <v>834</v>
      </c>
    </row>
    <row r="7" spans="1:3" x14ac:dyDescent="0.25">
      <c r="A7" t="s">
        <v>22</v>
      </c>
      <c r="B7" t="s">
        <v>832</v>
      </c>
      <c r="C7" t="s">
        <v>835</v>
      </c>
    </row>
    <row r="8" spans="1:3" x14ac:dyDescent="0.25">
      <c r="A8" t="s">
        <v>24</v>
      </c>
      <c r="B8" t="s">
        <v>832</v>
      </c>
      <c r="C8" t="s">
        <v>836</v>
      </c>
    </row>
    <row r="9" spans="1:3" x14ac:dyDescent="0.25">
      <c r="A9" t="s">
        <v>26</v>
      </c>
      <c r="B9" t="s">
        <v>832</v>
      </c>
      <c r="C9" t="s">
        <v>837</v>
      </c>
    </row>
    <row r="10" spans="1:3" x14ac:dyDescent="0.25">
      <c r="A10" t="s">
        <v>28</v>
      </c>
      <c r="B10" t="s">
        <v>832</v>
      </c>
      <c r="C10" t="s">
        <v>838</v>
      </c>
    </row>
    <row r="11" spans="1:3" x14ac:dyDescent="0.25">
      <c r="A11" t="s">
        <v>30</v>
      </c>
      <c r="B11" t="s">
        <v>839</v>
      </c>
      <c r="C11" t="s">
        <v>840</v>
      </c>
    </row>
    <row r="12" spans="1:3" x14ac:dyDescent="0.25">
      <c r="A12" t="s">
        <v>32</v>
      </c>
      <c r="B12" t="s">
        <v>839</v>
      </c>
      <c r="C12" t="s">
        <v>841</v>
      </c>
    </row>
    <row r="13" spans="1:3" x14ac:dyDescent="0.25">
      <c r="A13" t="s">
        <v>35</v>
      </c>
      <c r="B13" t="s">
        <v>839</v>
      </c>
      <c r="C13" t="s">
        <v>842</v>
      </c>
    </row>
    <row r="14" spans="1:3" x14ac:dyDescent="0.25">
      <c r="A14" t="s">
        <v>36</v>
      </c>
      <c r="B14" t="s">
        <v>839</v>
      </c>
      <c r="C14" t="s">
        <v>843</v>
      </c>
    </row>
    <row r="15" spans="1:3" x14ac:dyDescent="0.25">
      <c r="A15" t="s">
        <v>37</v>
      </c>
      <c r="B15" t="s">
        <v>839</v>
      </c>
      <c r="C15" t="s">
        <v>844</v>
      </c>
    </row>
    <row r="16" spans="1:3" x14ac:dyDescent="0.25">
      <c r="A16" t="s">
        <v>39</v>
      </c>
      <c r="B16" t="s">
        <v>839</v>
      </c>
      <c r="C16" t="s">
        <v>845</v>
      </c>
    </row>
    <row r="17" spans="1:3" x14ac:dyDescent="0.25">
      <c r="A17" t="s">
        <v>42</v>
      </c>
      <c r="B17" t="s">
        <v>839</v>
      </c>
      <c r="C17" t="s">
        <v>846</v>
      </c>
    </row>
    <row r="18" spans="1:3" x14ac:dyDescent="0.25">
      <c r="A18" t="s">
        <v>44</v>
      </c>
      <c r="B18" t="s">
        <v>827</v>
      </c>
      <c r="C18" t="s">
        <v>847</v>
      </c>
    </row>
    <row r="19" spans="1:3" x14ac:dyDescent="0.25">
      <c r="A19" t="s">
        <v>45</v>
      </c>
      <c r="B19" t="s">
        <v>827</v>
      </c>
      <c r="C19" t="s">
        <v>848</v>
      </c>
    </row>
    <row r="20" spans="1:3" x14ac:dyDescent="0.25">
      <c r="A20" t="s">
        <v>46</v>
      </c>
      <c r="B20" t="s">
        <v>827</v>
      </c>
      <c r="C20" t="s">
        <v>849</v>
      </c>
    </row>
    <row r="21" spans="1:3" x14ac:dyDescent="0.25">
      <c r="A21" t="s">
        <v>48</v>
      </c>
      <c r="B21" t="s">
        <v>827</v>
      </c>
      <c r="C21" t="s">
        <v>850</v>
      </c>
    </row>
    <row r="22" spans="1:3" x14ac:dyDescent="0.25">
      <c r="A22" t="s">
        <v>51</v>
      </c>
      <c r="B22" t="s">
        <v>827</v>
      </c>
      <c r="C22" t="s">
        <v>851</v>
      </c>
    </row>
    <row r="23" spans="1:3" x14ac:dyDescent="0.25">
      <c r="A23" t="s">
        <v>52</v>
      </c>
      <c r="B23" t="s">
        <v>827</v>
      </c>
      <c r="C23" t="s">
        <v>852</v>
      </c>
    </row>
    <row r="24" spans="1:3" x14ac:dyDescent="0.25">
      <c r="A24" t="s">
        <v>53</v>
      </c>
      <c r="B24" t="s">
        <v>853</v>
      </c>
      <c r="C24" t="s">
        <v>854</v>
      </c>
    </row>
    <row r="25" spans="1:3" x14ac:dyDescent="0.25">
      <c r="A25" t="s">
        <v>55</v>
      </c>
      <c r="B25" t="s">
        <v>853</v>
      </c>
      <c r="C25" t="s">
        <v>855</v>
      </c>
    </row>
    <row r="26" spans="1:3" x14ac:dyDescent="0.25">
      <c r="A26" t="s">
        <v>58</v>
      </c>
      <c r="B26" t="s">
        <v>853</v>
      </c>
      <c r="C26" t="s">
        <v>856</v>
      </c>
    </row>
    <row r="27" spans="1:3" x14ac:dyDescent="0.25">
      <c r="A27" t="s">
        <v>60</v>
      </c>
      <c r="B27" t="s">
        <v>853</v>
      </c>
      <c r="C27" t="s">
        <v>857</v>
      </c>
    </row>
    <row r="28" spans="1:3" x14ac:dyDescent="0.25">
      <c r="A28" t="s">
        <v>62</v>
      </c>
      <c r="B28" t="s">
        <v>853</v>
      </c>
      <c r="C28" t="s">
        <v>858</v>
      </c>
    </row>
    <row r="29" spans="1:3" x14ac:dyDescent="0.25">
      <c r="A29" t="s">
        <v>64</v>
      </c>
      <c r="B29" t="s">
        <v>853</v>
      </c>
      <c r="C29" t="s">
        <v>859</v>
      </c>
    </row>
    <row r="30" spans="1:3" x14ac:dyDescent="0.25">
      <c r="A30" t="s">
        <v>65</v>
      </c>
      <c r="B30" t="s">
        <v>853</v>
      </c>
      <c r="C30" t="s">
        <v>860</v>
      </c>
    </row>
    <row r="31" spans="1:3" x14ac:dyDescent="0.25">
      <c r="A31" t="s">
        <v>66</v>
      </c>
      <c r="B31" t="s">
        <v>829</v>
      </c>
      <c r="C31" t="s">
        <v>861</v>
      </c>
    </row>
    <row r="32" spans="1:3" x14ac:dyDescent="0.25">
      <c r="A32" t="s">
        <v>68</v>
      </c>
      <c r="B32" t="s">
        <v>862</v>
      </c>
      <c r="C32" t="s">
        <v>863</v>
      </c>
    </row>
    <row r="33" spans="1:3" x14ac:dyDescent="0.25">
      <c r="A33" t="s">
        <v>71</v>
      </c>
      <c r="B33" t="s">
        <v>862</v>
      </c>
      <c r="C33" t="s">
        <v>864</v>
      </c>
    </row>
    <row r="34" spans="1:3" x14ac:dyDescent="0.25">
      <c r="A34" t="s">
        <v>73</v>
      </c>
      <c r="B34" t="s">
        <v>862</v>
      </c>
      <c r="C34" t="s">
        <v>865</v>
      </c>
    </row>
    <row r="35" spans="1:3" x14ac:dyDescent="0.25">
      <c r="A35" t="s">
        <v>76</v>
      </c>
      <c r="B35" t="s">
        <v>862</v>
      </c>
      <c r="C35" t="s">
        <v>866</v>
      </c>
    </row>
    <row r="36" spans="1:3" x14ac:dyDescent="0.25">
      <c r="A36" t="s">
        <v>77</v>
      </c>
      <c r="B36" t="s">
        <v>862</v>
      </c>
      <c r="C36" t="s">
        <v>867</v>
      </c>
    </row>
    <row r="37" spans="1:3" x14ac:dyDescent="0.25">
      <c r="A37" t="s">
        <v>79</v>
      </c>
      <c r="B37" t="s">
        <v>868</v>
      </c>
      <c r="C37" t="s">
        <v>869</v>
      </c>
    </row>
    <row r="38" spans="1:3" x14ac:dyDescent="0.25">
      <c r="A38" t="s">
        <v>81</v>
      </c>
      <c r="B38" t="s">
        <v>868</v>
      </c>
      <c r="C38" t="s">
        <v>870</v>
      </c>
    </row>
    <row r="39" spans="1:3" x14ac:dyDescent="0.25">
      <c r="A39" t="s">
        <v>83</v>
      </c>
      <c r="B39" t="s">
        <v>868</v>
      </c>
      <c r="C39" t="s">
        <v>871</v>
      </c>
    </row>
    <row r="40" spans="1:3" x14ac:dyDescent="0.25">
      <c r="A40" t="s">
        <v>85</v>
      </c>
      <c r="B40" t="s">
        <v>868</v>
      </c>
      <c r="C40" t="s">
        <v>872</v>
      </c>
    </row>
    <row r="41" spans="1:3" x14ac:dyDescent="0.25">
      <c r="A41" t="s">
        <v>86</v>
      </c>
      <c r="B41" t="s">
        <v>868</v>
      </c>
      <c r="C41" t="s">
        <v>873</v>
      </c>
    </row>
    <row r="42" spans="1:3" x14ac:dyDescent="0.25">
      <c r="A42" t="s">
        <v>88</v>
      </c>
      <c r="B42" t="s">
        <v>868</v>
      </c>
      <c r="C42" t="s">
        <v>874</v>
      </c>
    </row>
    <row r="43" spans="1:3" x14ac:dyDescent="0.25">
      <c r="A43" t="s">
        <v>89</v>
      </c>
      <c r="B43" t="s">
        <v>868</v>
      </c>
      <c r="C43" t="s">
        <v>875</v>
      </c>
    </row>
    <row r="44" spans="1:3" x14ac:dyDescent="0.25">
      <c r="A44" t="s">
        <v>90</v>
      </c>
      <c r="B44" t="s">
        <v>868</v>
      </c>
      <c r="C44" t="s">
        <v>876</v>
      </c>
    </row>
    <row r="45" spans="1:3" x14ac:dyDescent="0.25">
      <c r="A45" t="s">
        <v>91</v>
      </c>
      <c r="B45" t="s">
        <v>868</v>
      </c>
      <c r="C45" t="s">
        <v>877</v>
      </c>
    </row>
    <row r="46" spans="1:3" x14ac:dyDescent="0.25">
      <c r="A46" t="s">
        <v>93</v>
      </c>
      <c r="B46" t="s">
        <v>868</v>
      </c>
      <c r="C46" t="s">
        <v>878</v>
      </c>
    </row>
    <row r="47" spans="1:3" x14ac:dyDescent="0.25">
      <c r="A47" t="s">
        <v>95</v>
      </c>
      <c r="B47" t="s">
        <v>879</v>
      </c>
      <c r="C47" t="s">
        <v>880</v>
      </c>
    </row>
    <row r="48" spans="1:3" x14ac:dyDescent="0.25">
      <c r="A48" t="s">
        <v>96</v>
      </c>
      <c r="B48" t="s">
        <v>879</v>
      </c>
      <c r="C48" t="s">
        <v>881</v>
      </c>
    </row>
    <row r="49" spans="1:3" x14ac:dyDescent="0.25">
      <c r="A49" t="s">
        <v>98</v>
      </c>
      <c r="B49" t="s">
        <v>879</v>
      </c>
      <c r="C49" t="s">
        <v>882</v>
      </c>
    </row>
    <row r="50" spans="1:3" x14ac:dyDescent="0.25">
      <c r="A50" t="s">
        <v>101</v>
      </c>
      <c r="B50" t="s">
        <v>879</v>
      </c>
      <c r="C50" t="s">
        <v>883</v>
      </c>
    </row>
    <row r="51" spans="1:3" x14ac:dyDescent="0.25">
      <c r="A51" t="s">
        <v>103</v>
      </c>
      <c r="B51" t="s">
        <v>879</v>
      </c>
      <c r="C51" t="s">
        <v>884</v>
      </c>
    </row>
    <row r="52" spans="1:3" x14ac:dyDescent="0.25">
      <c r="A52" t="s">
        <v>105</v>
      </c>
      <c r="B52" t="s">
        <v>879</v>
      </c>
      <c r="C52" t="s">
        <v>885</v>
      </c>
    </row>
    <row r="53" spans="1:3" x14ac:dyDescent="0.25">
      <c r="A53" t="s">
        <v>107</v>
      </c>
      <c r="B53" t="s">
        <v>879</v>
      </c>
      <c r="C53" t="s">
        <v>886</v>
      </c>
    </row>
    <row r="54" spans="1:3" x14ac:dyDescent="0.25">
      <c r="A54" t="s">
        <v>108</v>
      </c>
      <c r="B54" t="s">
        <v>879</v>
      </c>
      <c r="C54" t="s">
        <v>887</v>
      </c>
    </row>
    <row r="55" spans="1:3" x14ac:dyDescent="0.25">
      <c r="A55" t="s">
        <v>110</v>
      </c>
      <c r="B55" t="s">
        <v>879</v>
      </c>
      <c r="C55" t="s">
        <v>888</v>
      </c>
    </row>
    <row r="56" spans="1:3" x14ac:dyDescent="0.25">
      <c r="A56" t="s">
        <v>112</v>
      </c>
      <c r="B56" t="s">
        <v>879</v>
      </c>
      <c r="C56" t="s">
        <v>889</v>
      </c>
    </row>
    <row r="57" spans="1:3" x14ac:dyDescent="0.25">
      <c r="A57" t="s">
        <v>113</v>
      </c>
      <c r="B57" t="s">
        <v>890</v>
      </c>
      <c r="C57" t="s">
        <v>891</v>
      </c>
    </row>
    <row r="58" spans="1:3" x14ac:dyDescent="0.25">
      <c r="A58" t="s">
        <v>114</v>
      </c>
      <c r="B58" t="s">
        <v>890</v>
      </c>
      <c r="C58" t="s">
        <v>892</v>
      </c>
    </row>
    <row r="59" spans="1:3" x14ac:dyDescent="0.25">
      <c r="A59" t="s">
        <v>115</v>
      </c>
      <c r="B59" t="s">
        <v>890</v>
      </c>
      <c r="C59" t="s">
        <v>893</v>
      </c>
    </row>
    <row r="60" spans="1:3" x14ac:dyDescent="0.25">
      <c r="A60" t="s">
        <v>116</v>
      </c>
      <c r="B60" t="s">
        <v>890</v>
      </c>
      <c r="C60" t="s">
        <v>894</v>
      </c>
    </row>
    <row r="61" spans="1:3" x14ac:dyDescent="0.25">
      <c r="A61" t="s">
        <v>117</v>
      </c>
      <c r="B61" t="s">
        <v>890</v>
      </c>
      <c r="C61" t="s">
        <v>895</v>
      </c>
    </row>
    <row r="62" spans="1:3" x14ac:dyDescent="0.25">
      <c r="A62" t="s">
        <v>118</v>
      </c>
      <c r="B62" t="s">
        <v>890</v>
      </c>
      <c r="C62" t="s">
        <v>896</v>
      </c>
    </row>
    <row r="63" spans="1:3" x14ac:dyDescent="0.25">
      <c r="A63" t="s">
        <v>119</v>
      </c>
      <c r="B63" t="s">
        <v>890</v>
      </c>
      <c r="C63" t="s">
        <v>897</v>
      </c>
    </row>
    <row r="64" spans="1:3" x14ac:dyDescent="0.25">
      <c r="A64" t="s">
        <v>120</v>
      </c>
      <c r="B64" t="s">
        <v>890</v>
      </c>
      <c r="C64" t="s">
        <v>898</v>
      </c>
    </row>
    <row r="65" spans="1:3" x14ac:dyDescent="0.25">
      <c r="A65" t="s">
        <v>121</v>
      </c>
      <c r="B65" t="s">
        <v>899</v>
      </c>
      <c r="C65" t="s">
        <v>900</v>
      </c>
    </row>
    <row r="66" spans="1:3" x14ac:dyDescent="0.25">
      <c r="A66" t="s">
        <v>122</v>
      </c>
      <c r="B66" t="s">
        <v>899</v>
      </c>
      <c r="C66" t="s">
        <v>901</v>
      </c>
    </row>
    <row r="67" spans="1:3" x14ac:dyDescent="0.25">
      <c r="A67" t="s">
        <v>123</v>
      </c>
      <c r="B67" t="s">
        <v>899</v>
      </c>
      <c r="C67" t="s">
        <v>902</v>
      </c>
    </row>
    <row r="68" spans="1:3" x14ac:dyDescent="0.25">
      <c r="A68" t="s">
        <v>124</v>
      </c>
      <c r="B68" t="s">
        <v>899</v>
      </c>
      <c r="C68" t="s">
        <v>903</v>
      </c>
    </row>
    <row r="69" spans="1:3" x14ac:dyDescent="0.25">
      <c r="A69" t="s">
        <v>126</v>
      </c>
      <c r="B69" t="s">
        <v>829</v>
      </c>
      <c r="C69" t="s">
        <v>904</v>
      </c>
    </row>
    <row r="70" spans="1:3" x14ac:dyDescent="0.25">
      <c r="A70" t="s">
        <v>127</v>
      </c>
      <c r="B70" t="s">
        <v>905</v>
      </c>
      <c r="C70" t="s">
        <v>906</v>
      </c>
    </row>
    <row r="71" spans="1:3" x14ac:dyDescent="0.25">
      <c r="A71" t="s">
        <v>128</v>
      </c>
      <c r="B71" t="s">
        <v>905</v>
      </c>
      <c r="C71" t="s">
        <v>907</v>
      </c>
    </row>
    <row r="72" spans="1:3" x14ac:dyDescent="0.25">
      <c r="A72" t="s">
        <v>129</v>
      </c>
      <c r="B72" t="s">
        <v>905</v>
      </c>
      <c r="C72" t="s">
        <v>908</v>
      </c>
    </row>
    <row r="73" spans="1:3" x14ac:dyDescent="0.25">
      <c r="A73" t="s">
        <v>130</v>
      </c>
      <c r="B73" t="s">
        <v>909</v>
      </c>
      <c r="C73" t="s">
        <v>910</v>
      </c>
    </row>
    <row r="74" spans="1:3" x14ac:dyDescent="0.25">
      <c r="A74" t="s">
        <v>131</v>
      </c>
      <c r="B74" t="s">
        <v>909</v>
      </c>
      <c r="C74" t="s">
        <v>911</v>
      </c>
    </row>
    <row r="75" spans="1:3" x14ac:dyDescent="0.25">
      <c r="A75" t="s">
        <v>133</v>
      </c>
      <c r="B75" t="s">
        <v>899</v>
      </c>
      <c r="C75" t="s">
        <v>912</v>
      </c>
    </row>
    <row r="76" spans="1:3" x14ac:dyDescent="0.25">
      <c r="A76" t="s">
        <v>135</v>
      </c>
      <c r="B76" t="s">
        <v>899</v>
      </c>
      <c r="C76" t="s">
        <v>913</v>
      </c>
    </row>
    <row r="77" spans="1:3" x14ac:dyDescent="0.25">
      <c r="A77" t="s">
        <v>136</v>
      </c>
      <c r="B77" t="s">
        <v>827</v>
      </c>
      <c r="C77" t="s">
        <v>914</v>
      </c>
    </row>
    <row r="78" spans="1:3" x14ac:dyDescent="0.25">
      <c r="A78" t="s">
        <v>137</v>
      </c>
      <c r="B78" t="s">
        <v>915</v>
      </c>
      <c r="C78" t="s">
        <v>916</v>
      </c>
    </row>
    <row r="79" spans="1:3" x14ac:dyDescent="0.25">
      <c r="A79" t="s">
        <v>139</v>
      </c>
      <c r="B79" t="s">
        <v>915</v>
      </c>
      <c r="C79" t="s">
        <v>917</v>
      </c>
    </row>
    <row r="80" spans="1:3" x14ac:dyDescent="0.25">
      <c r="A80" t="s">
        <v>140</v>
      </c>
      <c r="B80" t="s">
        <v>915</v>
      </c>
      <c r="C80" t="s">
        <v>918</v>
      </c>
    </row>
    <row r="81" spans="1:3" x14ac:dyDescent="0.25">
      <c r="A81" t="s">
        <v>141</v>
      </c>
      <c r="B81" t="s">
        <v>915</v>
      </c>
      <c r="C81" t="s">
        <v>919</v>
      </c>
    </row>
    <row r="82" spans="1:3" x14ac:dyDescent="0.25">
      <c r="A82" t="s">
        <v>142</v>
      </c>
      <c r="B82" t="s">
        <v>915</v>
      </c>
      <c r="C82" t="s">
        <v>920</v>
      </c>
    </row>
    <row r="83" spans="1:3" x14ac:dyDescent="0.25">
      <c r="A83" t="s">
        <v>143</v>
      </c>
      <c r="B83" t="s">
        <v>915</v>
      </c>
      <c r="C83" t="s">
        <v>921</v>
      </c>
    </row>
    <row r="84" spans="1:3" x14ac:dyDescent="0.25">
      <c r="A84" t="s">
        <v>144</v>
      </c>
      <c r="B84" t="s">
        <v>922</v>
      </c>
      <c r="C84" t="s">
        <v>923</v>
      </c>
    </row>
    <row r="85" spans="1:3" x14ac:dyDescent="0.25">
      <c r="A85" t="s">
        <v>146</v>
      </c>
      <c r="B85" t="s">
        <v>829</v>
      </c>
      <c r="C85" t="s">
        <v>924</v>
      </c>
    </row>
    <row r="86" spans="1:3" x14ac:dyDescent="0.25">
      <c r="A86" t="s">
        <v>147</v>
      </c>
      <c r="B86" t="s">
        <v>829</v>
      </c>
      <c r="C86" t="s">
        <v>925</v>
      </c>
    </row>
    <row r="87" spans="1:3" x14ac:dyDescent="0.25">
      <c r="A87" t="s">
        <v>148</v>
      </c>
      <c r="B87" t="s">
        <v>829</v>
      </c>
      <c r="C87" t="s">
        <v>926</v>
      </c>
    </row>
    <row r="88" spans="1:3" x14ac:dyDescent="0.25">
      <c r="A88" t="s">
        <v>150</v>
      </c>
      <c r="C88" t="s">
        <v>927</v>
      </c>
    </row>
    <row r="89" spans="1:3" x14ac:dyDescent="0.25">
      <c r="A89" t="s">
        <v>153</v>
      </c>
      <c r="C89" t="s">
        <v>928</v>
      </c>
    </row>
    <row r="90" spans="1:3" x14ac:dyDescent="0.25">
      <c r="A90" t="s">
        <v>154</v>
      </c>
      <c r="C90" t="s">
        <v>929</v>
      </c>
    </row>
    <row r="91" spans="1:3" x14ac:dyDescent="0.25">
      <c r="A91" t="s">
        <v>155</v>
      </c>
      <c r="C91" t="s">
        <v>930</v>
      </c>
    </row>
    <row r="92" spans="1:3" x14ac:dyDescent="0.25">
      <c r="A92" t="s">
        <v>156</v>
      </c>
      <c r="C92" t="s">
        <v>931</v>
      </c>
    </row>
    <row r="93" spans="1:3" x14ac:dyDescent="0.25">
      <c r="A93" t="s">
        <v>157</v>
      </c>
      <c r="C93" t="s">
        <v>932</v>
      </c>
    </row>
    <row r="94" spans="1:3" x14ac:dyDescent="0.25">
      <c r="A94" t="s">
        <v>158</v>
      </c>
      <c r="C94" t="s">
        <v>933</v>
      </c>
    </row>
    <row r="95" spans="1:3" x14ac:dyDescent="0.25">
      <c r="A95" t="s">
        <v>159</v>
      </c>
      <c r="C95" t="s">
        <v>934</v>
      </c>
    </row>
    <row r="96" spans="1:3" x14ac:dyDescent="0.25">
      <c r="A96" t="s">
        <v>160</v>
      </c>
      <c r="C96" t="s">
        <v>935</v>
      </c>
    </row>
    <row r="97" spans="1:3" x14ac:dyDescent="0.25">
      <c r="A97" t="s">
        <v>162</v>
      </c>
      <c r="C97" t="s">
        <v>936</v>
      </c>
    </row>
    <row r="98" spans="1:3" x14ac:dyDescent="0.25">
      <c r="A98" t="s">
        <v>165</v>
      </c>
      <c r="C98" t="s">
        <v>937</v>
      </c>
    </row>
    <row r="99" spans="1:3" x14ac:dyDescent="0.25">
      <c r="A99" t="s">
        <v>166</v>
      </c>
      <c r="C99" t="s">
        <v>938</v>
      </c>
    </row>
    <row r="100" spans="1:3" x14ac:dyDescent="0.25">
      <c r="A100" t="s">
        <v>167</v>
      </c>
      <c r="C100" t="s">
        <v>939</v>
      </c>
    </row>
    <row r="101" spans="1:3" x14ac:dyDescent="0.25">
      <c r="A101" t="s">
        <v>168</v>
      </c>
      <c r="C101" t="s">
        <v>940</v>
      </c>
    </row>
    <row r="102" spans="1:3" x14ac:dyDescent="0.25">
      <c r="A102" t="s">
        <v>169</v>
      </c>
      <c r="C102" t="s">
        <v>941</v>
      </c>
    </row>
    <row r="103" spans="1:3" x14ac:dyDescent="0.25">
      <c r="A103" t="s">
        <v>170</v>
      </c>
      <c r="C103" t="s">
        <v>942</v>
      </c>
    </row>
    <row r="104" spans="1:3" x14ac:dyDescent="0.25">
      <c r="A104" t="s">
        <v>172</v>
      </c>
      <c r="C104" t="s">
        <v>943</v>
      </c>
    </row>
    <row r="105" spans="1:3" x14ac:dyDescent="0.25">
      <c r="A105" t="s">
        <v>175</v>
      </c>
      <c r="C105" t="s">
        <v>944</v>
      </c>
    </row>
    <row r="106" spans="1:3" x14ac:dyDescent="0.25">
      <c r="A106" t="s">
        <v>178</v>
      </c>
      <c r="C106" t="s">
        <v>945</v>
      </c>
    </row>
    <row r="107" spans="1:3" x14ac:dyDescent="0.25">
      <c r="A107" t="s">
        <v>179</v>
      </c>
      <c r="C107" t="s">
        <v>946</v>
      </c>
    </row>
    <row r="108" spans="1:3" x14ac:dyDescent="0.25">
      <c r="A108" t="s">
        <v>181</v>
      </c>
      <c r="C108" t="s">
        <v>947</v>
      </c>
    </row>
    <row r="109" spans="1:3" x14ac:dyDescent="0.25">
      <c r="A109" t="s">
        <v>184</v>
      </c>
      <c r="C109" t="s">
        <v>948</v>
      </c>
    </row>
    <row r="110" spans="1:3" x14ac:dyDescent="0.25">
      <c r="A110" t="s">
        <v>185</v>
      </c>
      <c r="C110" t="s">
        <v>949</v>
      </c>
    </row>
    <row r="111" spans="1:3" x14ac:dyDescent="0.25">
      <c r="A111" t="s">
        <v>186</v>
      </c>
      <c r="C111" t="s">
        <v>950</v>
      </c>
    </row>
    <row r="112" spans="1:3" x14ac:dyDescent="0.25">
      <c r="A112" t="s">
        <v>187</v>
      </c>
      <c r="C112" t="s">
        <v>951</v>
      </c>
    </row>
    <row r="113" spans="1:3" x14ac:dyDescent="0.25">
      <c r="A113" t="s">
        <v>188</v>
      </c>
      <c r="C113" t="s">
        <v>952</v>
      </c>
    </row>
    <row r="114" spans="1:3" x14ac:dyDescent="0.25">
      <c r="A114" t="s">
        <v>189</v>
      </c>
      <c r="C114" t="s">
        <v>953</v>
      </c>
    </row>
    <row r="115" spans="1:3" x14ac:dyDescent="0.25">
      <c r="A115" t="s">
        <v>190</v>
      </c>
      <c r="C115" t="s">
        <v>954</v>
      </c>
    </row>
    <row r="116" spans="1:3" x14ac:dyDescent="0.25">
      <c r="A116" t="s">
        <v>192</v>
      </c>
      <c r="C116" t="s">
        <v>955</v>
      </c>
    </row>
    <row r="117" spans="1:3" x14ac:dyDescent="0.25">
      <c r="A117" t="s">
        <v>193</v>
      </c>
      <c r="C117" t="s">
        <v>956</v>
      </c>
    </row>
    <row r="118" spans="1:3" x14ac:dyDescent="0.25">
      <c r="A118" t="s">
        <v>194</v>
      </c>
      <c r="C118" t="s">
        <v>957</v>
      </c>
    </row>
    <row r="119" spans="1:3" x14ac:dyDescent="0.25">
      <c r="A119" t="s">
        <v>195</v>
      </c>
      <c r="C119" t="s">
        <v>958</v>
      </c>
    </row>
    <row r="120" spans="1:3" x14ac:dyDescent="0.25">
      <c r="A120" t="s">
        <v>196</v>
      </c>
      <c r="C120" t="s">
        <v>959</v>
      </c>
    </row>
    <row r="121" spans="1:3" x14ac:dyDescent="0.25">
      <c r="A121" t="s">
        <v>197</v>
      </c>
      <c r="C121" t="s">
        <v>960</v>
      </c>
    </row>
    <row r="122" spans="1:3" x14ac:dyDescent="0.25">
      <c r="A122" t="s">
        <v>198</v>
      </c>
      <c r="C122" t="s">
        <v>961</v>
      </c>
    </row>
    <row r="123" spans="1:3" x14ac:dyDescent="0.25">
      <c r="A123" t="s">
        <v>199</v>
      </c>
      <c r="C123" t="s">
        <v>962</v>
      </c>
    </row>
    <row r="124" spans="1:3" x14ac:dyDescent="0.25">
      <c r="A124" t="s">
        <v>200</v>
      </c>
      <c r="C124" t="s">
        <v>963</v>
      </c>
    </row>
    <row r="125" spans="1:3" x14ac:dyDescent="0.25">
      <c r="A125" t="s">
        <v>201</v>
      </c>
      <c r="C125" t="s">
        <v>964</v>
      </c>
    </row>
    <row r="126" spans="1:3" x14ac:dyDescent="0.25">
      <c r="A126" t="s">
        <v>202</v>
      </c>
      <c r="C126" t="s">
        <v>965</v>
      </c>
    </row>
    <row r="127" spans="1:3" x14ac:dyDescent="0.25">
      <c r="A127" t="s">
        <v>203</v>
      </c>
      <c r="C127" t="s">
        <v>966</v>
      </c>
    </row>
    <row r="128" spans="1:3" x14ac:dyDescent="0.25">
      <c r="A128" t="s">
        <v>205</v>
      </c>
      <c r="C128" t="s">
        <v>967</v>
      </c>
    </row>
    <row r="129" spans="1:3" x14ac:dyDescent="0.25">
      <c r="A129" t="s">
        <v>206</v>
      </c>
      <c r="C129" t="s">
        <v>968</v>
      </c>
    </row>
    <row r="130" spans="1:3" x14ac:dyDescent="0.25">
      <c r="A130" t="s">
        <v>207</v>
      </c>
      <c r="C130" t="s">
        <v>969</v>
      </c>
    </row>
    <row r="131" spans="1:3" x14ac:dyDescent="0.25">
      <c r="A131" t="s">
        <v>208</v>
      </c>
      <c r="C131" t="s">
        <v>970</v>
      </c>
    </row>
    <row r="132" spans="1:3" x14ac:dyDescent="0.25">
      <c r="A132" t="s">
        <v>209</v>
      </c>
      <c r="C132" t="s">
        <v>971</v>
      </c>
    </row>
    <row r="133" spans="1:3" x14ac:dyDescent="0.25">
      <c r="A133" t="s">
        <v>210</v>
      </c>
      <c r="C133" t="s">
        <v>972</v>
      </c>
    </row>
    <row r="134" spans="1:3" x14ac:dyDescent="0.25">
      <c r="A134" t="s">
        <v>211</v>
      </c>
      <c r="C134" t="s">
        <v>973</v>
      </c>
    </row>
    <row r="135" spans="1:3" x14ac:dyDescent="0.25">
      <c r="A135" t="s">
        <v>212</v>
      </c>
      <c r="C135" t="s">
        <v>974</v>
      </c>
    </row>
    <row r="136" spans="1:3" x14ac:dyDescent="0.25">
      <c r="A136" t="s">
        <v>213</v>
      </c>
      <c r="C136" t="s">
        <v>975</v>
      </c>
    </row>
    <row r="137" spans="1:3" x14ac:dyDescent="0.25">
      <c r="A137" t="s">
        <v>214</v>
      </c>
      <c r="C137" t="s">
        <v>976</v>
      </c>
    </row>
    <row r="138" spans="1:3" x14ac:dyDescent="0.25">
      <c r="A138" t="s">
        <v>216</v>
      </c>
      <c r="C138" t="s">
        <v>977</v>
      </c>
    </row>
    <row r="139" spans="1:3" x14ac:dyDescent="0.25">
      <c r="A139" t="s">
        <v>217</v>
      </c>
      <c r="C139" t="s">
        <v>978</v>
      </c>
    </row>
    <row r="140" spans="1:3" x14ac:dyDescent="0.25">
      <c r="A140" t="s">
        <v>218</v>
      </c>
      <c r="C140" t="s">
        <v>979</v>
      </c>
    </row>
    <row r="141" spans="1:3" x14ac:dyDescent="0.25">
      <c r="A141" t="s">
        <v>219</v>
      </c>
      <c r="C141" t="s">
        <v>980</v>
      </c>
    </row>
    <row r="142" spans="1:3" x14ac:dyDescent="0.25">
      <c r="A142" t="s">
        <v>220</v>
      </c>
      <c r="C142" t="s">
        <v>981</v>
      </c>
    </row>
    <row r="143" spans="1:3" x14ac:dyDescent="0.25">
      <c r="A143" t="s">
        <v>221</v>
      </c>
      <c r="C143" t="s">
        <v>982</v>
      </c>
    </row>
    <row r="144" spans="1:3" x14ac:dyDescent="0.25">
      <c r="A144" t="s">
        <v>222</v>
      </c>
      <c r="C144" t="s">
        <v>983</v>
      </c>
    </row>
    <row r="145" spans="1:3" x14ac:dyDescent="0.25">
      <c r="A145" t="s">
        <v>223</v>
      </c>
      <c r="C145" t="s">
        <v>984</v>
      </c>
    </row>
    <row r="146" spans="1:3" x14ac:dyDescent="0.25">
      <c r="A146" t="s">
        <v>224</v>
      </c>
      <c r="C146" t="s">
        <v>985</v>
      </c>
    </row>
    <row r="147" spans="1:3" x14ac:dyDescent="0.25">
      <c r="A147" t="s">
        <v>225</v>
      </c>
      <c r="C147" t="s">
        <v>986</v>
      </c>
    </row>
    <row r="148" spans="1:3" x14ac:dyDescent="0.25">
      <c r="A148" t="s">
        <v>226</v>
      </c>
      <c r="C148" t="s">
        <v>987</v>
      </c>
    </row>
    <row r="149" spans="1:3" x14ac:dyDescent="0.25">
      <c r="A149" t="s">
        <v>228</v>
      </c>
      <c r="C149" t="s">
        <v>988</v>
      </c>
    </row>
    <row r="150" spans="1:3" x14ac:dyDescent="0.25">
      <c r="A150" t="s">
        <v>230</v>
      </c>
      <c r="C150" t="s">
        <v>989</v>
      </c>
    </row>
    <row r="151" spans="1:3" x14ac:dyDescent="0.25">
      <c r="A151" t="s">
        <v>231</v>
      </c>
      <c r="C151" t="s">
        <v>990</v>
      </c>
    </row>
    <row r="152" spans="1:3" x14ac:dyDescent="0.25">
      <c r="A152" t="s">
        <v>232</v>
      </c>
      <c r="C152" t="s">
        <v>991</v>
      </c>
    </row>
    <row r="153" spans="1:3" x14ac:dyDescent="0.25">
      <c r="A153" t="s">
        <v>233</v>
      </c>
      <c r="C153" t="s">
        <v>992</v>
      </c>
    </row>
    <row r="154" spans="1:3" x14ac:dyDescent="0.25">
      <c r="A154" t="s">
        <v>234</v>
      </c>
      <c r="C154" t="s">
        <v>993</v>
      </c>
    </row>
    <row r="155" spans="1:3" x14ac:dyDescent="0.25">
      <c r="A155" t="s">
        <v>235</v>
      </c>
      <c r="C155" t="s">
        <v>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7F06C-7EF0-4C92-BE72-FF22D0F2A382}">
  <dimension ref="A1:M163"/>
  <sheetViews>
    <sheetView workbookViewId="0">
      <selection activeCell="G22" sqref="G22"/>
    </sheetView>
  </sheetViews>
  <sheetFormatPr defaultRowHeight="15" x14ac:dyDescent="0.25"/>
  <cols>
    <col min="1" max="3" width="9.42578125" bestFit="1" customWidth="1"/>
    <col min="4" max="4" width="11.42578125" bestFit="1" customWidth="1"/>
    <col min="5" max="5" width="20" bestFit="1" customWidth="1"/>
    <col min="6" max="6" width="27.7109375" bestFit="1" customWidth="1"/>
    <col min="7" max="7" width="40" bestFit="1" customWidth="1"/>
    <col min="8" max="8" width="191.42578125" bestFit="1" customWidth="1"/>
    <col min="9" max="9" width="19.140625" bestFit="1" customWidth="1"/>
    <col min="10" max="10" width="28.85546875" bestFit="1" customWidth="1"/>
    <col min="11" max="11" width="14.7109375" bestFit="1" customWidth="1"/>
    <col min="12" max="12" width="23.85546875" bestFit="1" customWidth="1"/>
    <col min="13" max="13" width="26.42578125" bestFit="1" customWidth="1"/>
  </cols>
  <sheetData>
    <row r="1" spans="1:13" x14ac:dyDescent="0.25">
      <c r="A1" t="s">
        <v>997</v>
      </c>
      <c r="B1" t="s">
        <v>998</v>
      </c>
      <c r="C1" t="s">
        <v>999</v>
      </c>
      <c r="D1" t="s">
        <v>1000</v>
      </c>
      <c r="E1" t="s">
        <v>1001</v>
      </c>
      <c r="F1" t="s">
        <v>995</v>
      </c>
      <c r="G1" t="s">
        <v>1002</v>
      </c>
      <c r="H1" t="s">
        <v>1003</v>
      </c>
      <c r="I1" t="s">
        <v>1004</v>
      </c>
      <c r="J1" t="s">
        <v>1005</v>
      </c>
      <c r="K1" t="s">
        <v>1006</v>
      </c>
      <c r="L1" t="s">
        <v>1007</v>
      </c>
      <c r="M1" t="s">
        <v>3</v>
      </c>
    </row>
    <row r="2" spans="1:13" x14ac:dyDescent="0.25">
      <c r="A2">
        <v>1</v>
      </c>
      <c r="B2">
        <v>1.1000000000000001</v>
      </c>
      <c r="C2" t="s">
        <v>78</v>
      </c>
      <c r="D2" t="s">
        <v>995</v>
      </c>
      <c r="E2" t="s">
        <v>1008</v>
      </c>
      <c r="F2" t="s">
        <v>1009</v>
      </c>
      <c r="G2" t="s">
        <v>1010</v>
      </c>
      <c r="H2" t="s">
        <v>1011</v>
      </c>
      <c r="I2" t="s">
        <v>1012</v>
      </c>
      <c r="J2" t="s">
        <v>29</v>
      </c>
      <c r="K2" t="s">
        <v>1013</v>
      </c>
      <c r="L2" t="s">
        <v>1014</v>
      </c>
    </row>
    <row r="3" spans="1:13" x14ac:dyDescent="0.25">
      <c r="A3">
        <v>1</v>
      </c>
      <c r="B3">
        <v>1.1000000000000001</v>
      </c>
      <c r="C3" t="s">
        <v>1015</v>
      </c>
      <c r="D3" t="s">
        <v>995</v>
      </c>
      <c r="E3" t="s">
        <v>1008</v>
      </c>
      <c r="F3" t="s">
        <v>1009</v>
      </c>
      <c r="G3" t="s">
        <v>1016</v>
      </c>
      <c r="H3" t="s">
        <v>1017</v>
      </c>
      <c r="I3" t="s">
        <v>1018</v>
      </c>
      <c r="J3" t="s">
        <v>336</v>
      </c>
      <c r="K3" t="s">
        <v>1013</v>
      </c>
      <c r="L3" t="s">
        <v>1014</v>
      </c>
    </row>
    <row r="4" spans="1:13" x14ac:dyDescent="0.25">
      <c r="A4">
        <v>1</v>
      </c>
      <c r="B4">
        <v>1.1000000000000001</v>
      </c>
      <c r="C4" t="s">
        <v>1019</v>
      </c>
      <c r="D4" t="s">
        <v>995</v>
      </c>
      <c r="E4" t="s">
        <v>1008</v>
      </c>
      <c r="F4" t="s">
        <v>1009</v>
      </c>
      <c r="G4" t="s">
        <v>1020</v>
      </c>
      <c r="H4" t="s">
        <v>1021</v>
      </c>
      <c r="I4" t="s">
        <v>1018</v>
      </c>
      <c r="J4" t="s">
        <v>336</v>
      </c>
      <c r="K4" t="s">
        <v>1013</v>
      </c>
      <c r="L4" t="s">
        <v>1014</v>
      </c>
    </row>
    <row r="5" spans="1:13" x14ac:dyDescent="0.25">
      <c r="A5">
        <v>1</v>
      </c>
      <c r="B5">
        <v>1.1000000000000001</v>
      </c>
      <c r="C5" t="s">
        <v>27</v>
      </c>
      <c r="D5" t="s">
        <v>995</v>
      </c>
      <c r="E5" t="s">
        <v>1008</v>
      </c>
      <c r="F5" t="s">
        <v>1009</v>
      </c>
      <c r="G5" t="s">
        <v>1022</v>
      </c>
      <c r="H5" t="s">
        <v>1023</v>
      </c>
      <c r="I5" t="s">
        <v>1012</v>
      </c>
      <c r="J5" t="s">
        <v>29</v>
      </c>
      <c r="K5" t="s">
        <v>1013</v>
      </c>
      <c r="L5" t="s">
        <v>1024</v>
      </c>
    </row>
    <row r="6" spans="1:13" x14ac:dyDescent="0.25">
      <c r="A6">
        <v>1</v>
      </c>
      <c r="B6">
        <v>1.1000000000000001</v>
      </c>
      <c r="C6" t="s">
        <v>1025</v>
      </c>
      <c r="D6" t="s">
        <v>995</v>
      </c>
      <c r="E6" t="s">
        <v>1008</v>
      </c>
      <c r="F6" t="s">
        <v>1009</v>
      </c>
      <c r="G6" t="s">
        <v>1026</v>
      </c>
      <c r="H6" t="s">
        <v>1027</v>
      </c>
      <c r="I6" t="s">
        <v>1012</v>
      </c>
      <c r="J6" t="s">
        <v>29</v>
      </c>
      <c r="K6" t="s">
        <v>1013</v>
      </c>
      <c r="L6" t="s">
        <v>1024</v>
      </c>
    </row>
    <row r="7" spans="1:13" x14ac:dyDescent="0.25">
      <c r="A7">
        <v>1</v>
      </c>
      <c r="B7">
        <v>1.1000000000000001</v>
      </c>
      <c r="C7" t="s">
        <v>1028</v>
      </c>
      <c r="D7" t="s">
        <v>995</v>
      </c>
      <c r="E7" t="s">
        <v>1008</v>
      </c>
      <c r="F7" t="s">
        <v>1009</v>
      </c>
      <c r="G7" t="s">
        <v>1029</v>
      </c>
      <c r="H7" t="s">
        <v>1030</v>
      </c>
      <c r="I7" t="s">
        <v>1012</v>
      </c>
      <c r="J7" t="s">
        <v>29</v>
      </c>
      <c r="K7" t="s">
        <v>1013</v>
      </c>
      <c r="L7" t="s">
        <v>1024</v>
      </c>
    </row>
    <row r="8" spans="1:13" x14ac:dyDescent="0.25">
      <c r="A8">
        <v>1</v>
      </c>
      <c r="B8">
        <v>1.1000000000000001</v>
      </c>
      <c r="C8" t="s">
        <v>1031</v>
      </c>
      <c r="D8" t="s">
        <v>995</v>
      </c>
      <c r="E8" t="s">
        <v>1008</v>
      </c>
      <c r="F8" t="s">
        <v>1009</v>
      </c>
      <c r="G8" t="s">
        <v>1032</v>
      </c>
      <c r="H8" t="s">
        <v>1033</v>
      </c>
      <c r="I8" t="s">
        <v>1018</v>
      </c>
      <c r="J8" t="s">
        <v>336</v>
      </c>
      <c r="K8" t="s">
        <v>1013</v>
      </c>
      <c r="L8" t="s">
        <v>1024</v>
      </c>
    </row>
    <row r="9" spans="1:13" x14ac:dyDescent="0.25">
      <c r="A9">
        <v>1</v>
      </c>
      <c r="B9">
        <v>1.1000000000000001</v>
      </c>
      <c r="C9" t="s">
        <v>1034</v>
      </c>
      <c r="D9" t="s">
        <v>995</v>
      </c>
      <c r="E9" t="s">
        <v>1008</v>
      </c>
      <c r="F9" t="s">
        <v>1009</v>
      </c>
      <c r="G9" t="s">
        <v>1035</v>
      </c>
      <c r="H9" t="s">
        <v>1036</v>
      </c>
      <c r="I9" t="s">
        <v>1018</v>
      </c>
      <c r="J9" t="s">
        <v>336</v>
      </c>
      <c r="K9" t="s">
        <v>1013</v>
      </c>
      <c r="L9" t="s">
        <v>1024</v>
      </c>
    </row>
    <row r="10" spans="1:13" x14ac:dyDescent="0.25">
      <c r="A10">
        <v>1</v>
      </c>
      <c r="B10">
        <v>1.1000000000000001</v>
      </c>
      <c r="C10" t="s">
        <v>109</v>
      </c>
      <c r="D10" t="s">
        <v>995</v>
      </c>
      <c r="E10" t="s">
        <v>1008</v>
      </c>
      <c r="F10" t="s">
        <v>1037</v>
      </c>
      <c r="G10" t="s">
        <v>1038</v>
      </c>
      <c r="H10" t="s">
        <v>1039</v>
      </c>
      <c r="I10" t="s">
        <v>1012</v>
      </c>
      <c r="J10" t="s">
        <v>29</v>
      </c>
      <c r="K10" t="s">
        <v>1013</v>
      </c>
      <c r="L10" t="s">
        <v>1014</v>
      </c>
    </row>
    <row r="11" spans="1:13" x14ac:dyDescent="0.25">
      <c r="A11">
        <v>1</v>
      </c>
      <c r="B11">
        <v>1.1000000000000001</v>
      </c>
      <c r="C11" t="s">
        <v>1040</v>
      </c>
      <c r="D11" t="s">
        <v>995</v>
      </c>
      <c r="E11" t="s">
        <v>1008</v>
      </c>
      <c r="F11" t="s">
        <v>1037</v>
      </c>
      <c r="G11" t="s">
        <v>1041</v>
      </c>
      <c r="H11" t="s">
        <v>1042</v>
      </c>
      <c r="I11" t="s">
        <v>1018</v>
      </c>
      <c r="J11" t="s">
        <v>336</v>
      </c>
      <c r="K11" t="s">
        <v>1013</v>
      </c>
      <c r="L11" t="s">
        <v>1014</v>
      </c>
    </row>
    <row r="12" spans="1:13" x14ac:dyDescent="0.25">
      <c r="A12">
        <v>1</v>
      </c>
      <c r="B12">
        <v>1.1000000000000001</v>
      </c>
      <c r="C12" t="s">
        <v>1043</v>
      </c>
      <c r="D12" t="s">
        <v>995</v>
      </c>
      <c r="E12" t="s">
        <v>1008</v>
      </c>
      <c r="F12" t="s">
        <v>1037</v>
      </c>
      <c r="G12" t="s">
        <v>1044</v>
      </c>
      <c r="H12" t="s">
        <v>1045</v>
      </c>
      <c r="I12" t="s">
        <v>1018</v>
      </c>
      <c r="J12" t="s">
        <v>336</v>
      </c>
      <c r="K12" t="s">
        <v>1013</v>
      </c>
      <c r="L12" t="s">
        <v>1014</v>
      </c>
    </row>
    <row r="13" spans="1:13" x14ac:dyDescent="0.25">
      <c r="A13">
        <v>1</v>
      </c>
      <c r="B13">
        <v>1.1000000000000001</v>
      </c>
      <c r="C13" t="s">
        <v>1046</v>
      </c>
      <c r="D13" t="s">
        <v>995</v>
      </c>
      <c r="E13" t="s">
        <v>1008</v>
      </c>
      <c r="F13" t="s">
        <v>1037</v>
      </c>
      <c r="G13" t="s">
        <v>1047</v>
      </c>
      <c r="H13" t="s">
        <v>1048</v>
      </c>
      <c r="I13" t="s">
        <v>1012</v>
      </c>
      <c r="J13" t="s">
        <v>1049</v>
      </c>
      <c r="K13" t="s">
        <v>1013</v>
      </c>
      <c r="L13" t="s">
        <v>1014</v>
      </c>
    </row>
    <row r="14" spans="1:13" x14ac:dyDescent="0.25">
      <c r="A14">
        <v>1</v>
      </c>
      <c r="B14">
        <v>1.1000000000000001</v>
      </c>
      <c r="C14" t="s">
        <v>1050</v>
      </c>
      <c r="D14" t="s">
        <v>995</v>
      </c>
      <c r="E14" t="s">
        <v>1008</v>
      </c>
      <c r="F14" t="s">
        <v>1037</v>
      </c>
      <c r="G14" t="s">
        <v>1051</v>
      </c>
      <c r="H14" t="s">
        <v>1052</v>
      </c>
      <c r="I14" t="s">
        <v>1012</v>
      </c>
      <c r="J14" t="s">
        <v>29</v>
      </c>
      <c r="K14" t="s">
        <v>1013</v>
      </c>
      <c r="L14" t="s">
        <v>1024</v>
      </c>
    </row>
    <row r="15" spans="1:13" x14ac:dyDescent="0.25">
      <c r="A15">
        <v>1</v>
      </c>
      <c r="B15">
        <v>1.1000000000000001</v>
      </c>
      <c r="C15" t="s">
        <v>1053</v>
      </c>
      <c r="D15" t="s">
        <v>995</v>
      </c>
      <c r="E15" t="s">
        <v>1008</v>
      </c>
      <c r="F15" t="s">
        <v>1037</v>
      </c>
      <c r="G15" t="s">
        <v>1054</v>
      </c>
      <c r="H15" t="s">
        <v>1055</v>
      </c>
      <c r="I15" t="s">
        <v>1012</v>
      </c>
      <c r="J15" t="s">
        <v>29</v>
      </c>
      <c r="K15" t="s">
        <v>1013</v>
      </c>
      <c r="L15" t="s">
        <v>1024</v>
      </c>
    </row>
    <row r="16" spans="1:13" x14ac:dyDescent="0.25">
      <c r="A16">
        <v>1</v>
      </c>
      <c r="B16">
        <v>1.1000000000000001</v>
      </c>
      <c r="C16" t="s">
        <v>1056</v>
      </c>
      <c r="D16" t="s">
        <v>995</v>
      </c>
      <c r="E16" t="s">
        <v>1008</v>
      </c>
      <c r="F16" t="s">
        <v>1037</v>
      </c>
      <c r="G16" t="s">
        <v>1057</v>
      </c>
      <c r="H16" t="s">
        <v>1058</v>
      </c>
      <c r="I16" t="s">
        <v>1012</v>
      </c>
      <c r="J16" t="s">
        <v>29</v>
      </c>
      <c r="K16" t="s">
        <v>1013</v>
      </c>
      <c r="L16" t="s">
        <v>1024</v>
      </c>
    </row>
    <row r="17" spans="1:12" x14ac:dyDescent="0.25">
      <c r="A17">
        <v>1.1000000000000001</v>
      </c>
      <c r="B17">
        <v>1.1000000000000001</v>
      </c>
      <c r="C17" t="s">
        <v>1059</v>
      </c>
      <c r="D17" t="s">
        <v>995</v>
      </c>
      <c r="E17" t="s">
        <v>1008</v>
      </c>
      <c r="F17" t="s">
        <v>1037</v>
      </c>
      <c r="G17" t="s">
        <v>1060</v>
      </c>
      <c r="H17" t="s">
        <v>1061</v>
      </c>
      <c r="I17" t="s">
        <v>1018</v>
      </c>
      <c r="J17" t="s">
        <v>336</v>
      </c>
      <c r="K17" t="s">
        <v>1013</v>
      </c>
      <c r="L17" t="s">
        <v>1024</v>
      </c>
    </row>
    <row r="18" spans="1:12" x14ac:dyDescent="0.25">
      <c r="A18">
        <v>1</v>
      </c>
      <c r="B18">
        <v>1.1000000000000001</v>
      </c>
      <c r="C18" t="s">
        <v>1062</v>
      </c>
      <c r="D18" t="s">
        <v>995</v>
      </c>
      <c r="E18" t="s">
        <v>1008</v>
      </c>
      <c r="F18" t="s">
        <v>1037</v>
      </c>
      <c r="G18" t="s">
        <v>1063</v>
      </c>
      <c r="H18" t="s">
        <v>1064</v>
      </c>
      <c r="I18" t="s">
        <v>1018</v>
      </c>
      <c r="J18" t="s">
        <v>336</v>
      </c>
      <c r="K18" t="s">
        <v>1013</v>
      </c>
      <c r="L18" t="s">
        <v>1024</v>
      </c>
    </row>
    <row r="19" spans="1:12" x14ac:dyDescent="0.25">
      <c r="A19">
        <v>1</v>
      </c>
      <c r="B19">
        <v>1.1000000000000001</v>
      </c>
      <c r="C19" t="s">
        <v>111</v>
      </c>
      <c r="D19" t="s">
        <v>995</v>
      </c>
      <c r="E19" t="s">
        <v>1008</v>
      </c>
      <c r="F19" t="s">
        <v>1065</v>
      </c>
      <c r="G19" t="s">
        <v>1066</v>
      </c>
      <c r="H19" t="s">
        <v>1067</v>
      </c>
      <c r="I19" t="s">
        <v>1012</v>
      </c>
      <c r="J19" t="s">
        <v>29</v>
      </c>
      <c r="K19" t="s">
        <v>1013</v>
      </c>
      <c r="L19" t="s">
        <v>1014</v>
      </c>
    </row>
    <row r="20" spans="1:12" x14ac:dyDescent="0.25">
      <c r="A20">
        <v>1</v>
      </c>
      <c r="B20">
        <v>1.1000000000000001</v>
      </c>
      <c r="C20" t="s">
        <v>1068</v>
      </c>
      <c r="D20" t="s">
        <v>995</v>
      </c>
      <c r="E20" t="s">
        <v>1008</v>
      </c>
      <c r="F20" t="s">
        <v>1065</v>
      </c>
      <c r="G20" t="s">
        <v>1069</v>
      </c>
      <c r="H20" t="s">
        <v>1070</v>
      </c>
      <c r="I20" t="s">
        <v>1018</v>
      </c>
      <c r="J20" t="s">
        <v>336</v>
      </c>
      <c r="K20" t="s">
        <v>1013</v>
      </c>
      <c r="L20" t="s">
        <v>1014</v>
      </c>
    </row>
    <row r="21" spans="1:12" x14ac:dyDescent="0.25">
      <c r="A21">
        <v>1</v>
      </c>
      <c r="B21">
        <v>1.1000000000000001</v>
      </c>
      <c r="C21" t="s">
        <v>1071</v>
      </c>
      <c r="D21" t="s">
        <v>995</v>
      </c>
      <c r="E21" t="s">
        <v>1008</v>
      </c>
      <c r="F21" t="s">
        <v>1065</v>
      </c>
      <c r="G21" t="s">
        <v>1072</v>
      </c>
      <c r="H21" t="s">
        <v>1073</v>
      </c>
      <c r="I21" t="s">
        <v>1018</v>
      </c>
      <c r="J21" t="s">
        <v>336</v>
      </c>
      <c r="K21" t="s">
        <v>1013</v>
      </c>
      <c r="L21" t="s">
        <v>1014</v>
      </c>
    </row>
    <row r="22" spans="1:12" x14ac:dyDescent="0.25">
      <c r="A22">
        <v>1</v>
      </c>
      <c r="B22">
        <v>1.1000000000000001</v>
      </c>
      <c r="C22" t="s">
        <v>1074</v>
      </c>
      <c r="D22" t="s">
        <v>995</v>
      </c>
      <c r="E22" t="s">
        <v>1008</v>
      </c>
      <c r="F22" t="s">
        <v>1065</v>
      </c>
      <c r="G22" t="s">
        <v>1075</v>
      </c>
      <c r="H22" t="s">
        <v>1076</v>
      </c>
      <c r="I22" t="s">
        <v>1012</v>
      </c>
      <c r="J22" t="s">
        <v>29</v>
      </c>
      <c r="K22" t="s">
        <v>1013</v>
      </c>
      <c r="L22" t="s">
        <v>1024</v>
      </c>
    </row>
    <row r="23" spans="1:12" x14ac:dyDescent="0.25">
      <c r="A23">
        <v>1</v>
      </c>
      <c r="B23">
        <v>1.1000000000000001</v>
      </c>
      <c r="C23" t="s">
        <v>1077</v>
      </c>
      <c r="D23" t="s">
        <v>995</v>
      </c>
      <c r="E23" t="s">
        <v>1008</v>
      </c>
      <c r="F23" t="s">
        <v>1065</v>
      </c>
      <c r="G23" t="s">
        <v>1078</v>
      </c>
      <c r="H23" t="s">
        <v>1079</v>
      </c>
      <c r="I23" t="s">
        <v>1012</v>
      </c>
      <c r="J23" t="s">
        <v>1049</v>
      </c>
      <c r="K23" t="s">
        <v>1013</v>
      </c>
      <c r="L23" t="s">
        <v>1014</v>
      </c>
    </row>
    <row r="24" spans="1:12" x14ac:dyDescent="0.25">
      <c r="A24">
        <v>1</v>
      </c>
      <c r="B24">
        <v>1.1000000000000001</v>
      </c>
      <c r="C24" t="s">
        <v>252</v>
      </c>
      <c r="D24" t="s">
        <v>995</v>
      </c>
      <c r="E24" t="s">
        <v>1008</v>
      </c>
      <c r="F24" t="s">
        <v>1065</v>
      </c>
      <c r="G24" t="s">
        <v>1080</v>
      </c>
      <c r="H24" t="s">
        <v>1081</v>
      </c>
      <c r="I24" t="s">
        <v>1012</v>
      </c>
      <c r="J24" t="s">
        <v>29</v>
      </c>
      <c r="K24" t="s">
        <v>1013</v>
      </c>
      <c r="L24" t="s">
        <v>1024</v>
      </c>
    </row>
    <row r="25" spans="1:12" x14ac:dyDescent="0.25">
      <c r="A25">
        <v>1</v>
      </c>
      <c r="B25">
        <v>1.1000000000000001</v>
      </c>
      <c r="C25" t="s">
        <v>240</v>
      </c>
      <c r="D25" t="s">
        <v>995</v>
      </c>
      <c r="E25" t="s">
        <v>1008</v>
      </c>
      <c r="F25" t="s">
        <v>1065</v>
      </c>
      <c r="G25" t="s">
        <v>1082</v>
      </c>
      <c r="H25" t="s">
        <v>1083</v>
      </c>
      <c r="I25" t="s">
        <v>1012</v>
      </c>
      <c r="J25" t="s">
        <v>29</v>
      </c>
      <c r="K25" t="s">
        <v>1013</v>
      </c>
      <c r="L25" t="s">
        <v>1024</v>
      </c>
    </row>
    <row r="26" spans="1:12" x14ac:dyDescent="0.25">
      <c r="A26">
        <v>1</v>
      </c>
      <c r="B26">
        <v>1.1000000000000001</v>
      </c>
      <c r="C26" t="s">
        <v>191</v>
      </c>
      <c r="D26" t="s">
        <v>995</v>
      </c>
      <c r="E26" t="s">
        <v>1008</v>
      </c>
      <c r="F26" t="s">
        <v>1065</v>
      </c>
      <c r="G26" t="s">
        <v>1084</v>
      </c>
      <c r="H26" t="s">
        <v>1085</v>
      </c>
      <c r="I26" t="s">
        <v>1012</v>
      </c>
      <c r="J26" t="s">
        <v>29</v>
      </c>
      <c r="K26" t="s">
        <v>1013</v>
      </c>
      <c r="L26" t="s">
        <v>1024</v>
      </c>
    </row>
    <row r="27" spans="1:12" x14ac:dyDescent="0.25">
      <c r="A27">
        <v>1</v>
      </c>
      <c r="B27">
        <v>1.1000000000000001</v>
      </c>
      <c r="C27" t="s">
        <v>152</v>
      </c>
      <c r="D27" t="s">
        <v>995</v>
      </c>
      <c r="E27" t="s">
        <v>1008</v>
      </c>
      <c r="F27" t="s">
        <v>1065</v>
      </c>
      <c r="G27" t="s">
        <v>1086</v>
      </c>
      <c r="H27" t="s">
        <v>1087</v>
      </c>
      <c r="I27" t="s">
        <v>1012</v>
      </c>
      <c r="J27" t="s">
        <v>29</v>
      </c>
      <c r="K27" t="s">
        <v>1013</v>
      </c>
      <c r="L27" t="s">
        <v>1024</v>
      </c>
    </row>
    <row r="28" spans="1:12" x14ac:dyDescent="0.25">
      <c r="A28">
        <v>1</v>
      </c>
      <c r="B28">
        <v>1.1000000000000001</v>
      </c>
      <c r="C28" t="s">
        <v>334</v>
      </c>
      <c r="D28" t="s">
        <v>995</v>
      </c>
      <c r="E28" t="s">
        <v>1008</v>
      </c>
      <c r="F28" t="s">
        <v>1065</v>
      </c>
      <c r="G28" t="s">
        <v>1088</v>
      </c>
      <c r="H28" t="s">
        <v>1089</v>
      </c>
      <c r="I28" t="s">
        <v>1018</v>
      </c>
      <c r="J28" t="s">
        <v>336</v>
      </c>
      <c r="K28" t="s">
        <v>1013</v>
      </c>
      <c r="L28" t="s">
        <v>1024</v>
      </c>
    </row>
    <row r="29" spans="1:12" x14ac:dyDescent="0.25">
      <c r="A29">
        <v>1</v>
      </c>
      <c r="B29">
        <v>1.1000000000000001</v>
      </c>
      <c r="C29" t="s">
        <v>1090</v>
      </c>
      <c r="D29" t="s">
        <v>995</v>
      </c>
      <c r="E29" t="s">
        <v>1008</v>
      </c>
      <c r="F29" t="s">
        <v>1065</v>
      </c>
      <c r="G29" t="s">
        <v>1091</v>
      </c>
      <c r="H29" t="s">
        <v>1092</v>
      </c>
      <c r="I29" t="s">
        <v>1018</v>
      </c>
      <c r="J29" t="s">
        <v>336</v>
      </c>
      <c r="K29" t="s">
        <v>1013</v>
      </c>
      <c r="L29" t="s">
        <v>1024</v>
      </c>
    </row>
    <row r="30" spans="1:12" x14ac:dyDescent="0.25">
      <c r="A30">
        <v>1</v>
      </c>
      <c r="B30">
        <v>1.1000000000000001</v>
      </c>
      <c r="C30" t="s">
        <v>1093</v>
      </c>
      <c r="D30" t="s">
        <v>995</v>
      </c>
      <c r="E30" t="s">
        <v>1008</v>
      </c>
      <c r="F30" t="s">
        <v>1094</v>
      </c>
      <c r="G30" t="s">
        <v>1095</v>
      </c>
      <c r="H30" t="s">
        <v>1096</v>
      </c>
      <c r="I30" t="s">
        <v>1012</v>
      </c>
      <c r="J30" t="s">
        <v>29</v>
      </c>
      <c r="K30" t="s">
        <v>1097</v>
      </c>
      <c r="L30" t="s">
        <v>996</v>
      </c>
    </row>
    <row r="31" spans="1:12" x14ac:dyDescent="0.25">
      <c r="A31">
        <v>1</v>
      </c>
      <c r="B31">
        <v>1.1000000000000001</v>
      </c>
      <c r="C31" t="s">
        <v>1098</v>
      </c>
      <c r="D31" t="s">
        <v>995</v>
      </c>
      <c r="E31" t="s">
        <v>1008</v>
      </c>
      <c r="F31" t="s">
        <v>1094</v>
      </c>
      <c r="G31" t="s">
        <v>1099</v>
      </c>
      <c r="H31" t="s">
        <v>1100</v>
      </c>
      <c r="I31" t="s">
        <v>1018</v>
      </c>
      <c r="J31" t="s">
        <v>336</v>
      </c>
      <c r="K31" t="s">
        <v>1013</v>
      </c>
      <c r="L31" t="s">
        <v>1014</v>
      </c>
    </row>
    <row r="32" spans="1:12" x14ac:dyDescent="0.25">
      <c r="A32">
        <v>1</v>
      </c>
      <c r="B32">
        <v>1.1000000000000001</v>
      </c>
      <c r="C32" t="s">
        <v>1101</v>
      </c>
      <c r="D32" t="s">
        <v>995</v>
      </c>
      <c r="E32" t="s">
        <v>1008</v>
      </c>
      <c r="F32" t="s">
        <v>1094</v>
      </c>
      <c r="G32" t="s">
        <v>1102</v>
      </c>
      <c r="H32" t="s">
        <v>1103</v>
      </c>
      <c r="I32" t="s">
        <v>1012</v>
      </c>
      <c r="J32" t="s">
        <v>1049</v>
      </c>
      <c r="K32" t="s">
        <v>1013</v>
      </c>
      <c r="L32" t="s">
        <v>1014</v>
      </c>
    </row>
    <row r="33" spans="1:13" x14ac:dyDescent="0.25">
      <c r="A33">
        <v>1</v>
      </c>
      <c r="B33">
        <v>1.1000000000000001</v>
      </c>
      <c r="C33" t="s">
        <v>1104</v>
      </c>
      <c r="D33" t="s">
        <v>995</v>
      </c>
      <c r="E33" t="s">
        <v>1008</v>
      </c>
      <c r="F33" t="s">
        <v>1094</v>
      </c>
      <c r="G33" t="s">
        <v>1105</v>
      </c>
      <c r="H33" t="s">
        <v>1106</v>
      </c>
      <c r="I33" t="s">
        <v>1018</v>
      </c>
      <c r="J33" t="s">
        <v>336</v>
      </c>
      <c r="K33" t="s">
        <v>1013</v>
      </c>
      <c r="L33" t="s">
        <v>1024</v>
      </c>
    </row>
    <row r="34" spans="1:13" x14ac:dyDescent="0.25">
      <c r="A34">
        <v>1</v>
      </c>
      <c r="B34">
        <v>1.1000000000000001</v>
      </c>
      <c r="C34" t="s">
        <v>1107</v>
      </c>
      <c r="D34" t="s">
        <v>995</v>
      </c>
      <c r="E34" t="s">
        <v>1008</v>
      </c>
      <c r="F34" t="s">
        <v>1108</v>
      </c>
      <c r="G34" t="s">
        <v>1109</v>
      </c>
      <c r="H34" t="s">
        <v>1110</v>
      </c>
      <c r="I34" t="s">
        <v>1012</v>
      </c>
      <c r="J34" t="s">
        <v>29</v>
      </c>
      <c r="K34" t="s">
        <v>1097</v>
      </c>
      <c r="L34" t="s">
        <v>996</v>
      </c>
    </row>
    <row r="35" spans="1:13" x14ac:dyDescent="0.25">
      <c r="A35">
        <v>1</v>
      </c>
      <c r="B35">
        <v>1.1000000000000001</v>
      </c>
      <c r="C35" t="s">
        <v>1111</v>
      </c>
      <c r="D35" t="s">
        <v>995</v>
      </c>
      <c r="E35" t="s">
        <v>1008</v>
      </c>
      <c r="F35" t="s">
        <v>1108</v>
      </c>
      <c r="G35" t="s">
        <v>1112</v>
      </c>
      <c r="H35" t="s">
        <v>1113</v>
      </c>
      <c r="I35" t="s">
        <v>1018</v>
      </c>
      <c r="J35" t="s">
        <v>336</v>
      </c>
      <c r="K35" t="s">
        <v>1013</v>
      </c>
      <c r="L35" t="s">
        <v>1014</v>
      </c>
    </row>
    <row r="36" spans="1:13" x14ac:dyDescent="0.25">
      <c r="A36">
        <v>1</v>
      </c>
      <c r="B36">
        <v>1.1000000000000001</v>
      </c>
      <c r="C36" t="s">
        <v>1114</v>
      </c>
      <c r="D36" t="s">
        <v>995</v>
      </c>
      <c r="E36" t="s">
        <v>1008</v>
      </c>
      <c r="F36" t="s">
        <v>1108</v>
      </c>
      <c r="G36" t="s">
        <v>1115</v>
      </c>
      <c r="H36" t="s">
        <v>1116</v>
      </c>
      <c r="I36" t="s">
        <v>1012</v>
      </c>
      <c r="J36" t="s">
        <v>1049</v>
      </c>
      <c r="K36" t="s">
        <v>1013</v>
      </c>
      <c r="L36" t="s">
        <v>1014</v>
      </c>
    </row>
    <row r="37" spans="1:13" x14ac:dyDescent="0.25">
      <c r="A37">
        <v>1</v>
      </c>
      <c r="B37">
        <v>1.1000000000000001</v>
      </c>
      <c r="C37" t="s">
        <v>1117</v>
      </c>
      <c r="D37" t="s">
        <v>995</v>
      </c>
      <c r="E37" t="s">
        <v>1008</v>
      </c>
      <c r="F37" t="s">
        <v>1108</v>
      </c>
      <c r="G37" t="s">
        <v>1118</v>
      </c>
      <c r="H37" t="s">
        <v>1119</v>
      </c>
      <c r="I37" t="s">
        <v>1018</v>
      </c>
      <c r="J37" t="s">
        <v>336</v>
      </c>
      <c r="K37" t="s">
        <v>1013</v>
      </c>
      <c r="L37" t="s">
        <v>1024</v>
      </c>
    </row>
    <row r="38" spans="1:13" x14ac:dyDescent="0.25">
      <c r="A38">
        <v>1</v>
      </c>
      <c r="B38">
        <v>1.1000000000000001</v>
      </c>
      <c r="C38" t="s">
        <v>41</v>
      </c>
      <c r="D38" t="s">
        <v>995</v>
      </c>
      <c r="E38" t="s">
        <v>1008</v>
      </c>
      <c r="F38" t="s">
        <v>1120</v>
      </c>
      <c r="G38" t="s">
        <v>1121</v>
      </c>
      <c r="H38" t="s">
        <v>1122</v>
      </c>
      <c r="I38" t="s">
        <v>1012</v>
      </c>
      <c r="J38" t="s">
        <v>29</v>
      </c>
      <c r="K38" t="s">
        <v>1123</v>
      </c>
      <c r="L38" t="s">
        <v>1124</v>
      </c>
      <c r="M38" t="s">
        <v>1125</v>
      </c>
    </row>
    <row r="39" spans="1:13" x14ac:dyDescent="0.25">
      <c r="A39">
        <v>2</v>
      </c>
      <c r="B39">
        <v>2.1</v>
      </c>
      <c r="C39" t="s">
        <v>94</v>
      </c>
      <c r="D39" t="s">
        <v>995</v>
      </c>
      <c r="E39" t="s">
        <v>1008</v>
      </c>
      <c r="F39" t="s">
        <v>1126</v>
      </c>
      <c r="G39" t="s">
        <v>1127</v>
      </c>
      <c r="H39" t="s">
        <v>1128</v>
      </c>
      <c r="I39" t="s">
        <v>1012</v>
      </c>
      <c r="J39" t="s">
        <v>29</v>
      </c>
      <c r="K39" t="s">
        <v>1013</v>
      </c>
      <c r="L39" t="s">
        <v>1014</v>
      </c>
    </row>
    <row r="40" spans="1:13" x14ac:dyDescent="0.25">
      <c r="A40">
        <v>2</v>
      </c>
      <c r="B40">
        <v>2.1</v>
      </c>
      <c r="C40" t="s">
        <v>1129</v>
      </c>
      <c r="D40" t="s">
        <v>1130</v>
      </c>
      <c r="E40" t="s">
        <v>1008</v>
      </c>
      <c r="F40" t="s">
        <v>1126</v>
      </c>
      <c r="G40" t="s">
        <v>1131</v>
      </c>
      <c r="H40" t="s">
        <v>1132</v>
      </c>
      <c r="I40" t="s">
        <v>1018</v>
      </c>
      <c r="J40" t="s">
        <v>1133</v>
      </c>
      <c r="K40" t="s">
        <v>1013</v>
      </c>
      <c r="L40" t="s">
        <v>1014</v>
      </c>
    </row>
    <row r="41" spans="1:13" x14ac:dyDescent="0.25">
      <c r="A41">
        <v>2</v>
      </c>
      <c r="B41">
        <v>2.1</v>
      </c>
      <c r="C41" t="s">
        <v>97</v>
      </c>
      <c r="D41" t="s">
        <v>1130</v>
      </c>
      <c r="E41" t="s">
        <v>1008</v>
      </c>
      <c r="F41" t="s">
        <v>1126</v>
      </c>
      <c r="G41" t="s">
        <v>1134</v>
      </c>
      <c r="H41" t="s">
        <v>1135</v>
      </c>
      <c r="I41" t="s">
        <v>1012</v>
      </c>
      <c r="J41" t="s">
        <v>99</v>
      </c>
      <c r="K41" t="s">
        <v>1013</v>
      </c>
      <c r="L41" t="s">
        <v>1014</v>
      </c>
    </row>
    <row r="42" spans="1:13" x14ac:dyDescent="0.25">
      <c r="A42">
        <v>2</v>
      </c>
      <c r="B42">
        <v>2.1</v>
      </c>
      <c r="C42" t="s">
        <v>87</v>
      </c>
      <c r="D42" t="s">
        <v>1136</v>
      </c>
      <c r="E42" t="s">
        <v>1008</v>
      </c>
      <c r="F42" t="s">
        <v>1137</v>
      </c>
      <c r="G42" t="s">
        <v>1138</v>
      </c>
      <c r="H42" t="s">
        <v>1139</v>
      </c>
      <c r="I42" t="s">
        <v>1018</v>
      </c>
      <c r="J42" t="s">
        <v>12</v>
      </c>
      <c r="K42" t="s">
        <v>1013</v>
      </c>
      <c r="L42" t="s">
        <v>1014</v>
      </c>
    </row>
    <row r="43" spans="1:13" x14ac:dyDescent="0.25">
      <c r="A43">
        <v>2</v>
      </c>
      <c r="B43">
        <v>2.1</v>
      </c>
      <c r="C43" t="s">
        <v>50</v>
      </c>
      <c r="D43" t="s">
        <v>1136</v>
      </c>
      <c r="E43" t="s">
        <v>1008</v>
      </c>
      <c r="F43" t="s">
        <v>1137</v>
      </c>
      <c r="G43" t="s">
        <v>1140</v>
      </c>
      <c r="H43" t="s">
        <v>1141</v>
      </c>
      <c r="I43" t="s">
        <v>1012</v>
      </c>
      <c r="J43" t="s">
        <v>8</v>
      </c>
      <c r="K43" t="s">
        <v>1142</v>
      </c>
      <c r="L43" t="s">
        <v>1014</v>
      </c>
    </row>
    <row r="44" spans="1:13" x14ac:dyDescent="0.25">
      <c r="A44">
        <v>2</v>
      </c>
      <c r="B44">
        <v>2.1</v>
      </c>
      <c r="C44" t="s">
        <v>289</v>
      </c>
      <c r="D44" t="s">
        <v>1136</v>
      </c>
      <c r="E44" t="s">
        <v>1008</v>
      </c>
      <c r="F44" t="s">
        <v>1137</v>
      </c>
      <c r="G44" t="s">
        <v>1143</v>
      </c>
      <c r="H44" t="s">
        <v>1144</v>
      </c>
      <c r="I44" t="s">
        <v>1012</v>
      </c>
      <c r="J44" t="s">
        <v>291</v>
      </c>
      <c r="K44" t="s">
        <v>1013</v>
      </c>
      <c r="L44" t="s">
        <v>1014</v>
      </c>
    </row>
    <row r="45" spans="1:13" x14ac:dyDescent="0.25">
      <c r="A45">
        <v>2</v>
      </c>
      <c r="B45">
        <v>2.1</v>
      </c>
      <c r="C45" t="s">
        <v>1145</v>
      </c>
      <c r="D45" t="s">
        <v>1136</v>
      </c>
      <c r="E45" t="s">
        <v>1008</v>
      </c>
      <c r="F45" t="s">
        <v>1137</v>
      </c>
      <c r="G45" t="s">
        <v>1146</v>
      </c>
      <c r="H45" t="s">
        <v>1147</v>
      </c>
      <c r="I45" t="s">
        <v>1012</v>
      </c>
      <c r="J45" t="s">
        <v>1148</v>
      </c>
      <c r="K45" t="s">
        <v>1013</v>
      </c>
      <c r="L45" t="s">
        <v>1014</v>
      </c>
    </row>
    <row r="46" spans="1:13" x14ac:dyDescent="0.25">
      <c r="A46">
        <v>2</v>
      </c>
      <c r="B46">
        <v>2.1</v>
      </c>
      <c r="C46" t="s">
        <v>5</v>
      </c>
      <c r="D46" t="s">
        <v>1136</v>
      </c>
      <c r="E46" t="s">
        <v>1008</v>
      </c>
      <c r="F46" t="s">
        <v>1137</v>
      </c>
      <c r="G46" t="s">
        <v>1149</v>
      </c>
      <c r="H46" t="s">
        <v>1150</v>
      </c>
      <c r="I46" t="s">
        <v>1012</v>
      </c>
      <c r="J46" t="s">
        <v>8</v>
      </c>
      <c r="K46" t="s">
        <v>1013</v>
      </c>
      <c r="L46" t="s">
        <v>1014</v>
      </c>
    </row>
    <row r="47" spans="1:13" x14ac:dyDescent="0.25">
      <c r="A47">
        <v>2</v>
      </c>
      <c r="B47">
        <v>2.1</v>
      </c>
      <c r="C47" t="s">
        <v>125</v>
      </c>
      <c r="D47" t="s">
        <v>1136</v>
      </c>
      <c r="E47" t="s">
        <v>1008</v>
      </c>
      <c r="F47" t="s">
        <v>1137</v>
      </c>
      <c r="G47" t="s">
        <v>1151</v>
      </c>
      <c r="H47" t="s">
        <v>1152</v>
      </c>
      <c r="I47" t="s">
        <v>1012</v>
      </c>
      <c r="J47" t="s">
        <v>8</v>
      </c>
      <c r="K47" t="s">
        <v>1013</v>
      </c>
      <c r="L47" t="s">
        <v>1024</v>
      </c>
    </row>
    <row r="48" spans="1:13" x14ac:dyDescent="0.25">
      <c r="A48">
        <v>2</v>
      </c>
      <c r="B48">
        <v>2.1</v>
      </c>
      <c r="C48" t="s">
        <v>261</v>
      </c>
      <c r="D48" t="s">
        <v>1136</v>
      </c>
      <c r="E48" t="s">
        <v>1008</v>
      </c>
      <c r="F48" t="s">
        <v>1137</v>
      </c>
      <c r="G48" t="s">
        <v>1153</v>
      </c>
      <c r="H48" t="s">
        <v>1154</v>
      </c>
      <c r="I48" t="s">
        <v>1012</v>
      </c>
      <c r="J48" t="s">
        <v>8</v>
      </c>
      <c r="K48" t="s">
        <v>1013</v>
      </c>
      <c r="L48" t="s">
        <v>1024</v>
      </c>
    </row>
    <row r="49" spans="1:13" x14ac:dyDescent="0.25">
      <c r="A49">
        <v>2</v>
      </c>
      <c r="B49">
        <v>2.1</v>
      </c>
      <c r="C49" t="s">
        <v>246</v>
      </c>
      <c r="D49" t="s">
        <v>1136</v>
      </c>
      <c r="E49" t="s">
        <v>1008</v>
      </c>
      <c r="F49" t="s">
        <v>1137</v>
      </c>
      <c r="G49" t="s">
        <v>1155</v>
      </c>
      <c r="H49" t="s">
        <v>1156</v>
      </c>
      <c r="I49" t="s">
        <v>1018</v>
      </c>
      <c r="J49" t="s">
        <v>12</v>
      </c>
      <c r="K49" t="s">
        <v>1013</v>
      </c>
      <c r="L49" t="s">
        <v>1024</v>
      </c>
    </row>
    <row r="50" spans="1:13" x14ac:dyDescent="0.25">
      <c r="A50">
        <v>2</v>
      </c>
      <c r="B50">
        <v>2.1</v>
      </c>
      <c r="C50" t="s">
        <v>82</v>
      </c>
      <c r="D50" t="s">
        <v>1136</v>
      </c>
      <c r="E50" t="s">
        <v>1008</v>
      </c>
      <c r="F50" t="s">
        <v>1137</v>
      </c>
      <c r="G50" t="s">
        <v>1157</v>
      </c>
      <c r="H50" t="s">
        <v>1158</v>
      </c>
      <c r="I50" t="s">
        <v>1018</v>
      </c>
      <c r="J50" t="s">
        <v>12</v>
      </c>
      <c r="K50" t="s">
        <v>1013</v>
      </c>
      <c r="L50" t="s">
        <v>1024</v>
      </c>
    </row>
    <row r="51" spans="1:13" x14ac:dyDescent="0.25">
      <c r="A51">
        <v>2</v>
      </c>
      <c r="B51">
        <v>2.1</v>
      </c>
      <c r="C51" t="s">
        <v>104</v>
      </c>
      <c r="D51" t="s">
        <v>1136</v>
      </c>
      <c r="E51" t="s">
        <v>1008</v>
      </c>
      <c r="F51" t="s">
        <v>1137</v>
      </c>
      <c r="G51" t="s">
        <v>1159</v>
      </c>
      <c r="H51" t="s">
        <v>1160</v>
      </c>
      <c r="I51" t="s">
        <v>1018</v>
      </c>
      <c r="J51" t="s">
        <v>12</v>
      </c>
      <c r="K51" t="s">
        <v>1013</v>
      </c>
      <c r="L51" t="s">
        <v>1024</v>
      </c>
    </row>
    <row r="52" spans="1:13" x14ac:dyDescent="0.25">
      <c r="A52">
        <v>2</v>
      </c>
      <c r="B52">
        <v>2.1</v>
      </c>
      <c r="C52" t="s">
        <v>10</v>
      </c>
      <c r="D52" t="s">
        <v>1136</v>
      </c>
      <c r="E52" t="s">
        <v>1008</v>
      </c>
      <c r="F52" t="s">
        <v>1137</v>
      </c>
      <c r="G52" t="s">
        <v>1161</v>
      </c>
      <c r="H52" t="s">
        <v>1162</v>
      </c>
      <c r="I52" t="s">
        <v>1018</v>
      </c>
      <c r="J52" t="s">
        <v>12</v>
      </c>
      <c r="K52" t="s">
        <v>1013</v>
      </c>
      <c r="L52" t="s">
        <v>1024</v>
      </c>
    </row>
    <row r="53" spans="1:13" x14ac:dyDescent="0.25">
      <c r="A53">
        <v>2</v>
      </c>
      <c r="B53">
        <v>2.1</v>
      </c>
      <c r="C53" t="s">
        <v>34</v>
      </c>
      <c r="D53" t="s">
        <v>1136</v>
      </c>
      <c r="E53" t="s">
        <v>1008</v>
      </c>
      <c r="F53" t="s">
        <v>1137</v>
      </c>
      <c r="G53" t="s">
        <v>1163</v>
      </c>
      <c r="H53" t="s">
        <v>1164</v>
      </c>
      <c r="I53" t="s">
        <v>1012</v>
      </c>
      <c r="J53" t="s">
        <v>8</v>
      </c>
      <c r="K53" t="s">
        <v>1013</v>
      </c>
      <c r="L53" t="s">
        <v>1024</v>
      </c>
    </row>
    <row r="54" spans="1:13" x14ac:dyDescent="0.25">
      <c r="A54">
        <v>2</v>
      </c>
      <c r="B54">
        <v>2.1</v>
      </c>
      <c r="C54" t="s">
        <v>1165</v>
      </c>
      <c r="D54" t="s">
        <v>1136</v>
      </c>
      <c r="E54" t="s">
        <v>1008</v>
      </c>
      <c r="F54" t="s">
        <v>1137</v>
      </c>
      <c r="G54" t="s">
        <v>1166</v>
      </c>
      <c r="H54" t="s">
        <v>1167</v>
      </c>
      <c r="I54" t="s">
        <v>1012</v>
      </c>
      <c r="J54" t="s">
        <v>8</v>
      </c>
      <c r="K54" t="s">
        <v>1013</v>
      </c>
      <c r="L54" t="s">
        <v>1024</v>
      </c>
    </row>
    <row r="55" spans="1:13" x14ac:dyDescent="0.25">
      <c r="A55">
        <v>2</v>
      </c>
      <c r="B55">
        <v>2.1</v>
      </c>
      <c r="C55" t="s">
        <v>365</v>
      </c>
      <c r="D55" t="s">
        <v>1136</v>
      </c>
      <c r="E55" t="s">
        <v>1008</v>
      </c>
      <c r="F55" t="s">
        <v>1137</v>
      </c>
      <c r="G55" t="s">
        <v>1168</v>
      </c>
      <c r="H55" t="s">
        <v>1169</v>
      </c>
      <c r="I55" t="s">
        <v>1012</v>
      </c>
      <c r="J55" t="s">
        <v>291</v>
      </c>
      <c r="K55" t="s">
        <v>1013</v>
      </c>
      <c r="L55" t="s">
        <v>1024</v>
      </c>
    </row>
    <row r="56" spans="1:13" x14ac:dyDescent="0.25">
      <c r="A56">
        <v>2</v>
      </c>
      <c r="B56">
        <v>2.1</v>
      </c>
      <c r="C56" t="s">
        <v>1170</v>
      </c>
      <c r="D56" t="s">
        <v>1136</v>
      </c>
      <c r="E56" t="s">
        <v>1008</v>
      </c>
      <c r="F56" t="s">
        <v>1137</v>
      </c>
      <c r="G56" t="s">
        <v>1171</v>
      </c>
      <c r="H56" t="s">
        <v>1172</v>
      </c>
      <c r="I56" t="s">
        <v>1012</v>
      </c>
      <c r="J56" t="s">
        <v>1148</v>
      </c>
      <c r="K56" t="s">
        <v>1013</v>
      </c>
      <c r="L56" t="s">
        <v>1024</v>
      </c>
    </row>
    <row r="57" spans="1:13" x14ac:dyDescent="0.25">
      <c r="A57">
        <v>2</v>
      </c>
      <c r="B57">
        <v>2.1</v>
      </c>
      <c r="C57" t="s">
        <v>1173</v>
      </c>
      <c r="D57" t="s">
        <v>1136</v>
      </c>
      <c r="E57" t="s">
        <v>1008</v>
      </c>
      <c r="F57" t="s">
        <v>1137</v>
      </c>
      <c r="G57" t="s">
        <v>1174</v>
      </c>
      <c r="H57" t="s">
        <v>1175</v>
      </c>
      <c r="I57" t="s">
        <v>1018</v>
      </c>
      <c r="J57" t="s">
        <v>1148</v>
      </c>
      <c r="K57" t="s">
        <v>1013</v>
      </c>
      <c r="L57" t="s">
        <v>1024</v>
      </c>
    </row>
    <row r="58" spans="1:13" x14ac:dyDescent="0.25">
      <c r="A58">
        <v>2</v>
      </c>
      <c r="B58">
        <v>2.1</v>
      </c>
      <c r="C58" t="s">
        <v>1176</v>
      </c>
      <c r="D58" t="s">
        <v>1136</v>
      </c>
      <c r="E58" t="s">
        <v>1008</v>
      </c>
      <c r="F58" t="s">
        <v>1137</v>
      </c>
      <c r="G58" t="s">
        <v>1177</v>
      </c>
      <c r="H58" t="s">
        <v>1178</v>
      </c>
      <c r="I58" t="s">
        <v>1012</v>
      </c>
      <c r="J58" t="s">
        <v>1148</v>
      </c>
      <c r="K58" t="s">
        <v>1013</v>
      </c>
      <c r="L58" t="s">
        <v>1024</v>
      </c>
    </row>
    <row r="59" spans="1:13" x14ac:dyDescent="0.25">
      <c r="A59">
        <v>2</v>
      </c>
      <c r="B59">
        <v>2.1</v>
      </c>
      <c r="C59" t="s">
        <v>145</v>
      </c>
      <c r="D59" t="s">
        <v>1136</v>
      </c>
      <c r="E59" t="s">
        <v>1008</v>
      </c>
      <c r="F59" t="s">
        <v>1137</v>
      </c>
      <c r="G59" t="s">
        <v>1179</v>
      </c>
      <c r="H59" t="s">
        <v>1180</v>
      </c>
      <c r="I59" t="s">
        <v>1012</v>
      </c>
      <c r="J59" t="s">
        <v>8</v>
      </c>
      <c r="K59" t="s">
        <v>1013</v>
      </c>
      <c r="L59" t="s">
        <v>1024</v>
      </c>
    </row>
    <row r="60" spans="1:13" x14ac:dyDescent="0.25">
      <c r="A60">
        <v>2</v>
      </c>
      <c r="B60">
        <v>2.1</v>
      </c>
      <c r="C60" t="s">
        <v>13</v>
      </c>
      <c r="D60" t="s">
        <v>1136</v>
      </c>
      <c r="E60" t="s">
        <v>1008</v>
      </c>
      <c r="F60" t="s">
        <v>1137</v>
      </c>
      <c r="G60" t="s">
        <v>1181</v>
      </c>
      <c r="H60" t="s">
        <v>1182</v>
      </c>
      <c r="I60" t="s">
        <v>1012</v>
      </c>
      <c r="J60" t="s">
        <v>8</v>
      </c>
      <c r="K60" t="s">
        <v>1013</v>
      </c>
      <c r="L60" t="s">
        <v>1024</v>
      </c>
    </row>
    <row r="61" spans="1:13" x14ac:dyDescent="0.25">
      <c r="A61">
        <v>2</v>
      </c>
      <c r="B61">
        <v>2.1</v>
      </c>
      <c r="C61" t="s">
        <v>80</v>
      </c>
      <c r="D61" t="s">
        <v>1136</v>
      </c>
      <c r="E61" t="s">
        <v>1008</v>
      </c>
      <c r="F61" t="s">
        <v>1183</v>
      </c>
      <c r="G61" t="s">
        <v>1184</v>
      </c>
      <c r="H61" t="s">
        <v>1185</v>
      </c>
      <c r="I61" t="s">
        <v>1012</v>
      </c>
      <c r="J61" t="s">
        <v>8</v>
      </c>
      <c r="K61" t="s">
        <v>1123</v>
      </c>
      <c r="L61" t="s">
        <v>1124</v>
      </c>
      <c r="M61" t="s">
        <v>1125</v>
      </c>
    </row>
    <row r="62" spans="1:13" x14ac:dyDescent="0.25">
      <c r="A62">
        <v>2</v>
      </c>
      <c r="B62">
        <v>2.1</v>
      </c>
      <c r="C62" t="s">
        <v>84</v>
      </c>
      <c r="D62" t="s">
        <v>1136</v>
      </c>
      <c r="E62" t="s">
        <v>1008</v>
      </c>
      <c r="F62" t="s">
        <v>1183</v>
      </c>
      <c r="G62" t="s">
        <v>1186</v>
      </c>
      <c r="H62" t="s">
        <v>1187</v>
      </c>
      <c r="I62" t="s">
        <v>1188</v>
      </c>
      <c r="J62" t="s">
        <v>8</v>
      </c>
      <c r="K62" t="s">
        <v>1123</v>
      </c>
      <c r="L62" t="s">
        <v>1124</v>
      </c>
      <c r="M62" t="s">
        <v>1125</v>
      </c>
    </row>
    <row r="63" spans="1:13" x14ac:dyDescent="0.25">
      <c r="A63">
        <v>2</v>
      </c>
      <c r="B63">
        <v>2.1</v>
      </c>
      <c r="C63" t="s">
        <v>92</v>
      </c>
      <c r="D63" t="s">
        <v>1136</v>
      </c>
      <c r="E63" t="s">
        <v>1008</v>
      </c>
      <c r="F63" t="s">
        <v>1183</v>
      </c>
      <c r="G63" t="s">
        <v>1189</v>
      </c>
      <c r="H63" t="s">
        <v>1190</v>
      </c>
      <c r="I63" t="s">
        <v>1012</v>
      </c>
      <c r="J63" t="s">
        <v>8</v>
      </c>
      <c r="K63" t="s">
        <v>1123</v>
      </c>
      <c r="L63" t="s">
        <v>1124</v>
      </c>
      <c r="M63" t="s">
        <v>1125</v>
      </c>
    </row>
    <row r="64" spans="1:13" x14ac:dyDescent="0.25">
      <c r="A64">
        <v>2</v>
      </c>
      <c r="B64">
        <v>2.1</v>
      </c>
      <c r="C64" t="s">
        <v>1191</v>
      </c>
      <c r="D64" t="s">
        <v>1130</v>
      </c>
      <c r="E64" t="s">
        <v>1008</v>
      </c>
      <c r="F64" t="s">
        <v>1192</v>
      </c>
      <c r="G64" t="s">
        <v>1193</v>
      </c>
      <c r="H64" t="s">
        <v>1194</v>
      </c>
      <c r="I64" t="s">
        <v>1012</v>
      </c>
      <c r="J64" t="s">
        <v>1195</v>
      </c>
      <c r="K64" t="s">
        <v>1013</v>
      </c>
      <c r="L64" t="s">
        <v>1014</v>
      </c>
    </row>
    <row r="65" spans="1:12" x14ac:dyDescent="0.25">
      <c r="A65">
        <v>2</v>
      </c>
      <c r="B65">
        <v>2.1</v>
      </c>
      <c r="C65" t="s">
        <v>1196</v>
      </c>
      <c r="D65" t="s">
        <v>1130</v>
      </c>
      <c r="E65" t="s">
        <v>1008</v>
      </c>
      <c r="F65" t="s">
        <v>1192</v>
      </c>
      <c r="G65" t="s">
        <v>1197</v>
      </c>
      <c r="H65" t="s">
        <v>1198</v>
      </c>
      <c r="I65" t="s">
        <v>1018</v>
      </c>
      <c r="J65" t="s">
        <v>1195</v>
      </c>
      <c r="K65" t="s">
        <v>1097</v>
      </c>
      <c r="L65" t="s">
        <v>996</v>
      </c>
    </row>
    <row r="66" spans="1:12" x14ac:dyDescent="0.25">
      <c r="A66">
        <v>2</v>
      </c>
      <c r="B66">
        <v>2.1</v>
      </c>
      <c r="C66" t="s">
        <v>1199</v>
      </c>
      <c r="D66" t="s">
        <v>1130</v>
      </c>
      <c r="E66" t="s">
        <v>1008</v>
      </c>
      <c r="F66" t="s">
        <v>1192</v>
      </c>
      <c r="G66" t="s">
        <v>1200</v>
      </c>
      <c r="H66" t="s">
        <v>1201</v>
      </c>
      <c r="I66" t="s">
        <v>1018</v>
      </c>
      <c r="J66" t="s">
        <v>1195</v>
      </c>
      <c r="K66" t="s">
        <v>1013</v>
      </c>
      <c r="L66" t="s">
        <v>1024</v>
      </c>
    </row>
    <row r="67" spans="1:12" x14ac:dyDescent="0.25">
      <c r="A67">
        <v>2</v>
      </c>
      <c r="B67">
        <v>2.2000000000000002</v>
      </c>
      <c r="C67" t="s">
        <v>1202</v>
      </c>
      <c r="D67" t="s">
        <v>1130</v>
      </c>
      <c r="E67" t="s">
        <v>1008</v>
      </c>
      <c r="F67" t="s">
        <v>1203</v>
      </c>
      <c r="G67" t="s">
        <v>1204</v>
      </c>
      <c r="H67" t="s">
        <v>1205</v>
      </c>
      <c r="I67" t="s">
        <v>1012</v>
      </c>
      <c r="J67" t="s">
        <v>1195</v>
      </c>
      <c r="K67" t="s">
        <v>1097</v>
      </c>
      <c r="L67" t="s">
        <v>996</v>
      </c>
    </row>
    <row r="68" spans="1:12" x14ac:dyDescent="0.25">
      <c r="A68">
        <v>2</v>
      </c>
      <c r="B68">
        <v>2.2000000000000002</v>
      </c>
      <c r="C68" t="s">
        <v>1206</v>
      </c>
      <c r="D68" t="s">
        <v>1130</v>
      </c>
      <c r="E68" t="s">
        <v>1008</v>
      </c>
      <c r="F68" t="s">
        <v>1203</v>
      </c>
      <c r="G68" t="s">
        <v>1207</v>
      </c>
      <c r="H68" t="s">
        <v>1208</v>
      </c>
      <c r="I68" t="s">
        <v>1012</v>
      </c>
      <c r="J68" t="s">
        <v>1209</v>
      </c>
      <c r="K68" t="s">
        <v>1013</v>
      </c>
      <c r="L68" t="s">
        <v>1014</v>
      </c>
    </row>
    <row r="69" spans="1:12" x14ac:dyDescent="0.25">
      <c r="A69">
        <v>2</v>
      </c>
      <c r="B69">
        <v>2.2000000000000002</v>
      </c>
      <c r="C69" t="s">
        <v>1210</v>
      </c>
      <c r="D69" t="s">
        <v>1130</v>
      </c>
      <c r="E69" t="s">
        <v>1008</v>
      </c>
      <c r="F69" t="s">
        <v>1203</v>
      </c>
      <c r="G69" t="s">
        <v>1211</v>
      </c>
      <c r="H69" t="s">
        <v>1212</v>
      </c>
      <c r="I69" t="s">
        <v>1012</v>
      </c>
      <c r="J69" t="s">
        <v>1209</v>
      </c>
      <c r="K69" t="s">
        <v>1013</v>
      </c>
      <c r="L69" t="s">
        <v>1014</v>
      </c>
    </row>
    <row r="70" spans="1:12" x14ac:dyDescent="0.25">
      <c r="A70">
        <v>2</v>
      </c>
      <c r="B70">
        <v>2.2000000000000002</v>
      </c>
      <c r="C70" t="s">
        <v>1213</v>
      </c>
      <c r="D70" t="s">
        <v>1130</v>
      </c>
      <c r="E70" t="s">
        <v>1008</v>
      </c>
      <c r="F70" t="s">
        <v>1203</v>
      </c>
      <c r="G70" t="s">
        <v>1214</v>
      </c>
      <c r="H70" t="s">
        <v>1215</v>
      </c>
      <c r="I70" t="s">
        <v>1012</v>
      </c>
      <c r="J70" t="s">
        <v>99</v>
      </c>
      <c r="K70" t="s">
        <v>1097</v>
      </c>
      <c r="L70" t="s">
        <v>996</v>
      </c>
    </row>
    <row r="71" spans="1:12" x14ac:dyDescent="0.25">
      <c r="A71">
        <v>2</v>
      </c>
      <c r="B71">
        <v>2.2000000000000002</v>
      </c>
      <c r="C71" t="s">
        <v>271</v>
      </c>
      <c r="D71" t="s">
        <v>1130</v>
      </c>
      <c r="E71" t="s">
        <v>1008</v>
      </c>
      <c r="F71" t="s">
        <v>1203</v>
      </c>
      <c r="G71" t="s">
        <v>1216</v>
      </c>
      <c r="H71" t="s">
        <v>1217</v>
      </c>
      <c r="I71" t="s">
        <v>1012</v>
      </c>
      <c r="J71" t="s">
        <v>273</v>
      </c>
      <c r="K71" t="s">
        <v>1013</v>
      </c>
      <c r="L71" t="s">
        <v>1014</v>
      </c>
    </row>
    <row r="72" spans="1:12" x14ac:dyDescent="0.25">
      <c r="A72">
        <v>2</v>
      </c>
      <c r="B72">
        <v>2.2000000000000002</v>
      </c>
      <c r="C72" t="s">
        <v>1218</v>
      </c>
      <c r="D72" t="s">
        <v>1130</v>
      </c>
      <c r="E72" t="s">
        <v>1008</v>
      </c>
      <c r="F72" t="s">
        <v>1203</v>
      </c>
      <c r="G72" t="s">
        <v>1219</v>
      </c>
      <c r="H72" t="s">
        <v>1220</v>
      </c>
      <c r="I72" t="s">
        <v>1012</v>
      </c>
      <c r="J72" t="s">
        <v>1195</v>
      </c>
      <c r="K72" t="s">
        <v>1013</v>
      </c>
      <c r="L72" t="s">
        <v>1014</v>
      </c>
    </row>
    <row r="73" spans="1:12" x14ac:dyDescent="0.25">
      <c r="A73">
        <v>2</v>
      </c>
      <c r="B73">
        <v>2.2000000000000002</v>
      </c>
      <c r="C73" t="s">
        <v>1221</v>
      </c>
      <c r="D73" t="s">
        <v>1130</v>
      </c>
      <c r="E73" t="s">
        <v>1008</v>
      </c>
      <c r="F73" t="s">
        <v>1203</v>
      </c>
      <c r="G73" t="s">
        <v>1222</v>
      </c>
      <c r="H73" t="s">
        <v>1223</v>
      </c>
      <c r="I73" t="s">
        <v>1012</v>
      </c>
      <c r="J73" t="s">
        <v>1224</v>
      </c>
      <c r="K73" t="s">
        <v>1097</v>
      </c>
      <c r="L73" t="s">
        <v>996</v>
      </c>
    </row>
    <row r="74" spans="1:12" x14ac:dyDescent="0.25">
      <c r="A74">
        <v>2</v>
      </c>
      <c r="B74">
        <v>2.2000000000000002</v>
      </c>
      <c r="C74" t="s">
        <v>1225</v>
      </c>
      <c r="D74" t="s">
        <v>1130</v>
      </c>
      <c r="E74" t="s">
        <v>1226</v>
      </c>
      <c r="F74" t="s">
        <v>1203</v>
      </c>
      <c r="G74" t="s">
        <v>1227</v>
      </c>
      <c r="H74" t="s">
        <v>1228</v>
      </c>
      <c r="I74" t="s">
        <v>1018</v>
      </c>
      <c r="J74" t="s">
        <v>1229</v>
      </c>
      <c r="K74" t="s">
        <v>1097</v>
      </c>
      <c r="L74" t="s">
        <v>996</v>
      </c>
    </row>
    <row r="75" spans="1:12" x14ac:dyDescent="0.25">
      <c r="A75">
        <v>2</v>
      </c>
      <c r="B75">
        <v>2.2000000000000002</v>
      </c>
      <c r="C75" t="s">
        <v>1230</v>
      </c>
      <c r="D75" t="s">
        <v>1130</v>
      </c>
      <c r="E75" t="s">
        <v>1226</v>
      </c>
      <c r="F75" t="s">
        <v>1203</v>
      </c>
      <c r="G75" t="s">
        <v>1231</v>
      </c>
      <c r="H75" t="s">
        <v>1232</v>
      </c>
      <c r="I75" t="s">
        <v>1233</v>
      </c>
      <c r="J75" t="s">
        <v>1229</v>
      </c>
      <c r="K75" t="s">
        <v>1013</v>
      </c>
      <c r="L75" t="s">
        <v>1014</v>
      </c>
    </row>
    <row r="76" spans="1:12" x14ac:dyDescent="0.25">
      <c r="A76">
        <v>2</v>
      </c>
      <c r="B76">
        <v>2.2000000000000002</v>
      </c>
      <c r="C76" t="s">
        <v>149</v>
      </c>
      <c r="D76" t="s">
        <v>1130</v>
      </c>
      <c r="E76" t="s">
        <v>1226</v>
      </c>
      <c r="F76" t="s">
        <v>1203</v>
      </c>
      <c r="G76" t="s">
        <v>1234</v>
      </c>
      <c r="H76" t="s">
        <v>1235</v>
      </c>
      <c r="I76" t="s">
        <v>1188</v>
      </c>
      <c r="J76" t="s">
        <v>151</v>
      </c>
      <c r="K76" t="s">
        <v>1097</v>
      </c>
      <c r="L76" t="s">
        <v>996</v>
      </c>
    </row>
    <row r="77" spans="1:12" x14ac:dyDescent="0.25">
      <c r="A77">
        <v>2</v>
      </c>
      <c r="B77">
        <v>2.2000000000000002</v>
      </c>
      <c r="C77" t="s">
        <v>1236</v>
      </c>
      <c r="D77" t="s">
        <v>1130</v>
      </c>
      <c r="E77" t="s">
        <v>1226</v>
      </c>
      <c r="F77" t="s">
        <v>1203</v>
      </c>
      <c r="G77" t="s">
        <v>1237</v>
      </c>
      <c r="H77" t="s">
        <v>1238</v>
      </c>
      <c r="I77" t="s">
        <v>1188</v>
      </c>
      <c r="J77" t="s">
        <v>151</v>
      </c>
      <c r="K77" t="s">
        <v>1013</v>
      </c>
      <c r="L77" t="s">
        <v>1014</v>
      </c>
    </row>
    <row r="78" spans="1:12" x14ac:dyDescent="0.25">
      <c r="A78">
        <v>2</v>
      </c>
      <c r="B78">
        <v>2.2000000000000002</v>
      </c>
      <c r="C78" t="s">
        <v>1239</v>
      </c>
      <c r="D78" t="s">
        <v>1130</v>
      </c>
      <c r="E78" t="s">
        <v>1008</v>
      </c>
      <c r="F78" t="s">
        <v>1203</v>
      </c>
      <c r="G78" t="s">
        <v>1240</v>
      </c>
      <c r="H78" t="s">
        <v>1241</v>
      </c>
      <c r="I78" t="s">
        <v>1012</v>
      </c>
      <c r="J78" t="s">
        <v>1242</v>
      </c>
      <c r="K78" t="s">
        <v>1097</v>
      </c>
      <c r="L78" t="s">
        <v>996</v>
      </c>
    </row>
    <row r="79" spans="1:12" x14ac:dyDescent="0.25">
      <c r="A79">
        <v>2</v>
      </c>
      <c r="B79">
        <v>2.2000000000000002</v>
      </c>
      <c r="C79" t="s">
        <v>1243</v>
      </c>
      <c r="D79" t="s">
        <v>1130</v>
      </c>
      <c r="E79" t="s">
        <v>1226</v>
      </c>
      <c r="F79" t="s">
        <v>1203</v>
      </c>
      <c r="G79" t="s">
        <v>1244</v>
      </c>
      <c r="H79" t="s">
        <v>1245</v>
      </c>
      <c r="I79" t="s">
        <v>1233</v>
      </c>
      <c r="J79" t="s">
        <v>1246</v>
      </c>
      <c r="K79" t="s">
        <v>1013</v>
      </c>
      <c r="L79" t="s">
        <v>1014</v>
      </c>
    </row>
    <row r="80" spans="1:12" x14ac:dyDescent="0.25">
      <c r="A80">
        <v>2</v>
      </c>
      <c r="B80">
        <v>2.2000000000000002</v>
      </c>
      <c r="C80" t="s">
        <v>1247</v>
      </c>
      <c r="D80" t="s">
        <v>1130</v>
      </c>
      <c r="E80" t="s">
        <v>1226</v>
      </c>
      <c r="F80" t="s">
        <v>1203</v>
      </c>
      <c r="G80" t="s">
        <v>1248</v>
      </c>
      <c r="H80" t="s">
        <v>1249</v>
      </c>
      <c r="I80" t="s">
        <v>1018</v>
      </c>
      <c r="J80" t="s">
        <v>1246</v>
      </c>
      <c r="K80" t="s">
        <v>1013</v>
      </c>
      <c r="L80" t="s">
        <v>1014</v>
      </c>
    </row>
    <row r="81" spans="1:12" x14ac:dyDescent="0.25">
      <c r="A81">
        <v>2</v>
      </c>
      <c r="B81">
        <v>2.2000000000000002</v>
      </c>
      <c r="C81" t="s">
        <v>1250</v>
      </c>
      <c r="D81" t="s">
        <v>1130</v>
      </c>
      <c r="E81" t="s">
        <v>1008</v>
      </c>
      <c r="F81" t="s">
        <v>1203</v>
      </c>
      <c r="G81" t="s">
        <v>1251</v>
      </c>
      <c r="H81" t="s">
        <v>1252</v>
      </c>
      <c r="I81" t="s">
        <v>1012</v>
      </c>
      <c r="J81" t="s">
        <v>1209</v>
      </c>
      <c r="K81" t="s">
        <v>1013</v>
      </c>
      <c r="L81" t="s">
        <v>1024</v>
      </c>
    </row>
    <row r="82" spans="1:12" x14ac:dyDescent="0.25">
      <c r="A82">
        <v>2</v>
      </c>
      <c r="B82">
        <v>2.2000000000000002</v>
      </c>
      <c r="C82" t="s">
        <v>1253</v>
      </c>
      <c r="D82" t="s">
        <v>1130</v>
      </c>
      <c r="E82" t="s">
        <v>1008</v>
      </c>
      <c r="F82" t="s">
        <v>1203</v>
      </c>
      <c r="G82" t="s">
        <v>1254</v>
      </c>
      <c r="H82" t="s">
        <v>1255</v>
      </c>
      <c r="I82" t="s">
        <v>1012</v>
      </c>
      <c r="J82" t="s">
        <v>1209</v>
      </c>
      <c r="K82" t="s">
        <v>1013</v>
      </c>
      <c r="L82" t="s">
        <v>1024</v>
      </c>
    </row>
    <row r="83" spans="1:12" x14ac:dyDescent="0.25">
      <c r="A83">
        <v>2</v>
      </c>
      <c r="B83">
        <v>2.2000000000000002</v>
      </c>
      <c r="C83" t="s">
        <v>1256</v>
      </c>
      <c r="D83" t="s">
        <v>1130</v>
      </c>
      <c r="E83" t="s">
        <v>1008</v>
      </c>
      <c r="F83" t="s">
        <v>1203</v>
      </c>
      <c r="G83" t="s">
        <v>1257</v>
      </c>
      <c r="H83" t="s">
        <v>1258</v>
      </c>
      <c r="I83" t="s">
        <v>1012</v>
      </c>
      <c r="J83" t="s">
        <v>1209</v>
      </c>
      <c r="K83" t="s">
        <v>1013</v>
      </c>
      <c r="L83" t="s">
        <v>1024</v>
      </c>
    </row>
    <row r="84" spans="1:12" x14ac:dyDescent="0.25">
      <c r="A84">
        <v>2</v>
      </c>
      <c r="B84">
        <v>2.2000000000000002</v>
      </c>
      <c r="C84" t="s">
        <v>1259</v>
      </c>
      <c r="D84" t="s">
        <v>1130</v>
      </c>
      <c r="E84" t="s">
        <v>1008</v>
      </c>
      <c r="F84" t="s">
        <v>1203</v>
      </c>
      <c r="G84" t="s">
        <v>1260</v>
      </c>
      <c r="H84" t="s">
        <v>1261</v>
      </c>
      <c r="I84" t="s">
        <v>1012</v>
      </c>
      <c r="J84" t="s">
        <v>1209</v>
      </c>
      <c r="K84" t="s">
        <v>1013</v>
      </c>
      <c r="L84" t="s">
        <v>1024</v>
      </c>
    </row>
    <row r="85" spans="1:12" x14ac:dyDescent="0.25">
      <c r="A85">
        <v>2</v>
      </c>
      <c r="B85">
        <v>2.2000000000000002</v>
      </c>
      <c r="C85" t="s">
        <v>1262</v>
      </c>
      <c r="D85" t="s">
        <v>1130</v>
      </c>
      <c r="E85" t="s">
        <v>1008</v>
      </c>
      <c r="F85" t="s">
        <v>1203</v>
      </c>
      <c r="G85" t="s">
        <v>1263</v>
      </c>
      <c r="H85" t="s">
        <v>1264</v>
      </c>
      <c r="I85" t="s">
        <v>1012</v>
      </c>
      <c r="J85" t="s">
        <v>1209</v>
      </c>
      <c r="K85" t="s">
        <v>1013</v>
      </c>
      <c r="L85" t="s">
        <v>1024</v>
      </c>
    </row>
    <row r="86" spans="1:12" x14ac:dyDescent="0.25">
      <c r="A86">
        <v>2</v>
      </c>
      <c r="B86">
        <v>2.2000000000000002</v>
      </c>
      <c r="C86" t="s">
        <v>1265</v>
      </c>
      <c r="D86" t="s">
        <v>1130</v>
      </c>
      <c r="E86" t="s">
        <v>1008</v>
      </c>
      <c r="F86" t="s">
        <v>1203</v>
      </c>
      <c r="G86" t="s">
        <v>1266</v>
      </c>
      <c r="H86" t="s">
        <v>1267</v>
      </c>
      <c r="I86" t="s">
        <v>1012</v>
      </c>
      <c r="J86" t="s">
        <v>273</v>
      </c>
      <c r="K86" t="s">
        <v>1013</v>
      </c>
      <c r="L86" t="s">
        <v>1024</v>
      </c>
    </row>
    <row r="87" spans="1:12" x14ac:dyDescent="0.25">
      <c r="A87">
        <v>2</v>
      </c>
      <c r="B87">
        <v>2.2000000000000002</v>
      </c>
      <c r="C87" t="s">
        <v>1268</v>
      </c>
      <c r="D87" t="s">
        <v>1130</v>
      </c>
      <c r="E87" t="s">
        <v>1008</v>
      </c>
      <c r="F87" t="s">
        <v>1203</v>
      </c>
      <c r="G87" t="s">
        <v>1269</v>
      </c>
      <c r="H87" t="s">
        <v>1270</v>
      </c>
      <c r="I87" t="s">
        <v>1233</v>
      </c>
      <c r="J87" t="s">
        <v>1229</v>
      </c>
      <c r="K87" t="s">
        <v>1013</v>
      </c>
      <c r="L87" t="s">
        <v>1024</v>
      </c>
    </row>
    <row r="88" spans="1:12" x14ac:dyDescent="0.25">
      <c r="A88">
        <v>2</v>
      </c>
      <c r="B88">
        <v>2.2000000000000002</v>
      </c>
      <c r="C88" t="s">
        <v>1271</v>
      </c>
      <c r="D88" t="s">
        <v>1130</v>
      </c>
      <c r="E88" t="s">
        <v>1008</v>
      </c>
      <c r="F88" t="s">
        <v>1203</v>
      </c>
      <c r="G88" t="s">
        <v>1272</v>
      </c>
      <c r="H88" t="s">
        <v>1273</v>
      </c>
      <c r="I88" t="s">
        <v>1233</v>
      </c>
      <c r="J88" t="s">
        <v>1229</v>
      </c>
      <c r="K88" t="s">
        <v>1013</v>
      </c>
      <c r="L88" t="s">
        <v>1024</v>
      </c>
    </row>
    <row r="89" spans="1:12" x14ac:dyDescent="0.25">
      <c r="A89">
        <v>3</v>
      </c>
      <c r="B89">
        <v>3.1</v>
      </c>
      <c r="C89" t="s">
        <v>237</v>
      </c>
      <c r="D89" t="s">
        <v>1136</v>
      </c>
      <c r="E89" t="s">
        <v>1008</v>
      </c>
      <c r="F89" t="s">
        <v>1274</v>
      </c>
      <c r="G89" t="s">
        <v>1275</v>
      </c>
      <c r="H89" t="s">
        <v>1276</v>
      </c>
      <c r="I89" t="s">
        <v>1188</v>
      </c>
      <c r="J89" t="s">
        <v>238</v>
      </c>
      <c r="K89" t="s">
        <v>1097</v>
      </c>
      <c r="L89" t="s">
        <v>996</v>
      </c>
    </row>
    <row r="90" spans="1:12" x14ac:dyDescent="0.25">
      <c r="A90">
        <v>3</v>
      </c>
      <c r="B90">
        <v>3.1</v>
      </c>
      <c r="C90" t="s">
        <v>180</v>
      </c>
      <c r="D90" t="s">
        <v>1136</v>
      </c>
      <c r="E90" t="s">
        <v>1226</v>
      </c>
      <c r="F90" t="s">
        <v>1274</v>
      </c>
      <c r="G90" t="s">
        <v>1277</v>
      </c>
      <c r="H90" t="s">
        <v>1278</v>
      </c>
      <c r="I90" t="s">
        <v>1233</v>
      </c>
      <c r="J90" t="s">
        <v>182</v>
      </c>
      <c r="K90" t="s">
        <v>1097</v>
      </c>
      <c r="L90" t="s">
        <v>996</v>
      </c>
    </row>
    <row r="91" spans="1:12" x14ac:dyDescent="0.25">
      <c r="A91">
        <v>3</v>
      </c>
      <c r="B91">
        <v>3.1</v>
      </c>
      <c r="C91" t="s">
        <v>1279</v>
      </c>
      <c r="D91" t="s">
        <v>1136</v>
      </c>
      <c r="E91" t="s">
        <v>1226</v>
      </c>
      <c r="F91" t="s">
        <v>1274</v>
      </c>
      <c r="G91" t="s">
        <v>1280</v>
      </c>
      <c r="H91" t="s">
        <v>1281</v>
      </c>
      <c r="I91" t="s">
        <v>1018</v>
      </c>
      <c r="J91" t="s">
        <v>238</v>
      </c>
      <c r="K91" t="s">
        <v>1097</v>
      </c>
      <c r="L91" t="s">
        <v>996</v>
      </c>
    </row>
    <row r="92" spans="1:12" x14ac:dyDescent="0.25">
      <c r="A92">
        <v>3</v>
      </c>
      <c r="B92">
        <v>3.1</v>
      </c>
      <c r="C92" t="s">
        <v>1282</v>
      </c>
      <c r="D92" t="s">
        <v>1136</v>
      </c>
      <c r="E92" t="s">
        <v>1226</v>
      </c>
      <c r="F92" t="s">
        <v>1274</v>
      </c>
      <c r="G92" t="s">
        <v>1283</v>
      </c>
      <c r="H92" t="s">
        <v>1284</v>
      </c>
      <c r="I92" t="s">
        <v>1018</v>
      </c>
      <c r="J92" t="s">
        <v>238</v>
      </c>
      <c r="K92" t="s">
        <v>1097</v>
      </c>
      <c r="L92" t="s">
        <v>996</v>
      </c>
    </row>
    <row r="93" spans="1:12" x14ac:dyDescent="0.25">
      <c r="A93">
        <v>3</v>
      </c>
      <c r="B93">
        <v>3.1</v>
      </c>
      <c r="C93" t="s">
        <v>257</v>
      </c>
      <c r="D93" t="s">
        <v>1136</v>
      </c>
      <c r="E93" t="s">
        <v>1226</v>
      </c>
      <c r="F93" t="s">
        <v>1274</v>
      </c>
      <c r="G93" t="s">
        <v>1285</v>
      </c>
      <c r="H93" t="s">
        <v>1286</v>
      </c>
      <c r="I93" t="s">
        <v>1018</v>
      </c>
      <c r="J93" t="s">
        <v>238</v>
      </c>
      <c r="K93" t="s">
        <v>1097</v>
      </c>
      <c r="L93" t="s">
        <v>996</v>
      </c>
    </row>
    <row r="94" spans="1:12" x14ac:dyDescent="0.25">
      <c r="A94">
        <v>3</v>
      </c>
      <c r="B94">
        <v>3.1</v>
      </c>
      <c r="C94" t="s">
        <v>47</v>
      </c>
      <c r="D94" t="s">
        <v>1136</v>
      </c>
      <c r="E94" t="s">
        <v>1008</v>
      </c>
      <c r="F94" t="s">
        <v>1274</v>
      </c>
      <c r="G94" t="s">
        <v>1287</v>
      </c>
      <c r="H94" t="s">
        <v>1288</v>
      </c>
      <c r="I94" t="s">
        <v>1018</v>
      </c>
      <c r="J94" t="s">
        <v>49</v>
      </c>
      <c r="K94" t="s">
        <v>1013</v>
      </c>
      <c r="L94" t="s">
        <v>1014</v>
      </c>
    </row>
    <row r="95" spans="1:12" x14ac:dyDescent="0.25">
      <c r="A95">
        <v>3</v>
      </c>
      <c r="B95">
        <v>3.1</v>
      </c>
      <c r="C95" t="s">
        <v>247</v>
      </c>
      <c r="D95" t="s">
        <v>1136</v>
      </c>
      <c r="E95" t="s">
        <v>1008</v>
      </c>
      <c r="F95" t="s">
        <v>1274</v>
      </c>
      <c r="G95" t="s">
        <v>1289</v>
      </c>
      <c r="H95" t="s">
        <v>1290</v>
      </c>
      <c r="I95" t="s">
        <v>1012</v>
      </c>
      <c r="J95" t="s">
        <v>63</v>
      </c>
      <c r="K95" t="s">
        <v>1013</v>
      </c>
      <c r="L95" t="s">
        <v>1014</v>
      </c>
    </row>
    <row r="96" spans="1:12" x14ac:dyDescent="0.25">
      <c r="A96">
        <v>3</v>
      </c>
      <c r="B96">
        <v>3.1</v>
      </c>
      <c r="C96" t="s">
        <v>1291</v>
      </c>
      <c r="D96" t="s">
        <v>1136</v>
      </c>
      <c r="E96" t="s">
        <v>1008</v>
      </c>
      <c r="F96" t="s">
        <v>1274</v>
      </c>
      <c r="G96" t="s">
        <v>1292</v>
      </c>
      <c r="H96" t="s">
        <v>1293</v>
      </c>
      <c r="I96" t="s">
        <v>1012</v>
      </c>
      <c r="J96" t="s">
        <v>1294</v>
      </c>
      <c r="K96" t="s">
        <v>1097</v>
      </c>
      <c r="L96" t="s">
        <v>996</v>
      </c>
    </row>
    <row r="97" spans="1:12" x14ac:dyDescent="0.25">
      <c r="A97">
        <v>3</v>
      </c>
      <c r="B97">
        <v>3.1</v>
      </c>
      <c r="C97" t="s">
        <v>242</v>
      </c>
      <c r="D97" t="s">
        <v>1136</v>
      </c>
      <c r="E97" t="s">
        <v>1008</v>
      </c>
      <c r="F97" t="s">
        <v>1274</v>
      </c>
      <c r="G97" t="s">
        <v>1295</v>
      </c>
      <c r="H97" t="s">
        <v>1296</v>
      </c>
      <c r="I97" t="s">
        <v>1018</v>
      </c>
      <c r="J97" t="s">
        <v>63</v>
      </c>
      <c r="K97" t="s">
        <v>1013</v>
      </c>
      <c r="L97" t="s">
        <v>1014</v>
      </c>
    </row>
    <row r="98" spans="1:12" x14ac:dyDescent="0.25">
      <c r="A98">
        <v>3</v>
      </c>
      <c r="B98">
        <v>3.1</v>
      </c>
      <c r="C98" t="s">
        <v>241</v>
      </c>
      <c r="D98" t="s">
        <v>1136</v>
      </c>
      <c r="E98" t="s">
        <v>1008</v>
      </c>
      <c r="F98" t="s">
        <v>1274</v>
      </c>
      <c r="G98" t="s">
        <v>1297</v>
      </c>
      <c r="H98" t="s">
        <v>1298</v>
      </c>
      <c r="I98" t="s">
        <v>1012</v>
      </c>
      <c r="J98" t="s">
        <v>63</v>
      </c>
      <c r="K98" t="s">
        <v>1097</v>
      </c>
      <c r="L98" t="s">
        <v>996</v>
      </c>
    </row>
    <row r="99" spans="1:12" x14ac:dyDescent="0.25">
      <c r="A99">
        <v>3</v>
      </c>
      <c r="B99">
        <v>3.1</v>
      </c>
      <c r="C99" t="s">
        <v>57</v>
      </c>
      <c r="D99" t="s">
        <v>1136</v>
      </c>
      <c r="E99" t="s">
        <v>1008</v>
      </c>
      <c r="F99" t="s">
        <v>1274</v>
      </c>
      <c r="G99" t="s">
        <v>1299</v>
      </c>
      <c r="H99" t="s">
        <v>1300</v>
      </c>
      <c r="I99" t="s">
        <v>1018</v>
      </c>
      <c r="J99" t="s">
        <v>59</v>
      </c>
      <c r="K99" t="s">
        <v>1013</v>
      </c>
      <c r="L99" t="s">
        <v>1014</v>
      </c>
    </row>
    <row r="100" spans="1:12" x14ac:dyDescent="0.25">
      <c r="A100">
        <v>3</v>
      </c>
      <c r="B100">
        <v>3.1</v>
      </c>
      <c r="C100" t="s">
        <v>106</v>
      </c>
      <c r="D100" t="s">
        <v>1136</v>
      </c>
      <c r="E100" t="s">
        <v>1008</v>
      </c>
      <c r="F100" t="s">
        <v>1274</v>
      </c>
      <c r="G100" t="s">
        <v>1301</v>
      </c>
      <c r="H100" t="s">
        <v>1302</v>
      </c>
      <c r="I100" t="s">
        <v>1012</v>
      </c>
      <c r="J100" t="s">
        <v>102</v>
      </c>
      <c r="K100" t="s">
        <v>1097</v>
      </c>
      <c r="L100" t="s">
        <v>996</v>
      </c>
    </row>
    <row r="101" spans="1:12" x14ac:dyDescent="0.25">
      <c r="A101">
        <v>3</v>
      </c>
      <c r="B101">
        <v>3.1</v>
      </c>
      <c r="C101" t="s">
        <v>100</v>
      </c>
      <c r="D101" t="s">
        <v>1136</v>
      </c>
      <c r="E101" t="s">
        <v>1008</v>
      </c>
      <c r="F101" t="s">
        <v>1274</v>
      </c>
      <c r="G101" t="s">
        <v>1303</v>
      </c>
      <c r="H101" t="s">
        <v>1304</v>
      </c>
      <c r="I101" t="s">
        <v>1018</v>
      </c>
      <c r="J101" t="s">
        <v>102</v>
      </c>
      <c r="K101" t="s">
        <v>1013</v>
      </c>
      <c r="L101" t="s">
        <v>1014</v>
      </c>
    </row>
    <row r="102" spans="1:12" x14ac:dyDescent="0.25">
      <c r="A102">
        <v>3</v>
      </c>
      <c r="B102">
        <v>3.1</v>
      </c>
      <c r="C102" t="s">
        <v>177</v>
      </c>
      <c r="D102" t="s">
        <v>1136</v>
      </c>
      <c r="E102" t="s">
        <v>1008</v>
      </c>
      <c r="F102" t="s">
        <v>1274</v>
      </c>
      <c r="G102" t="s">
        <v>1305</v>
      </c>
      <c r="H102" t="s">
        <v>1306</v>
      </c>
      <c r="I102" t="s">
        <v>1188</v>
      </c>
      <c r="J102" t="s">
        <v>102</v>
      </c>
      <c r="K102" t="s">
        <v>1097</v>
      </c>
      <c r="L102" t="s">
        <v>996</v>
      </c>
    </row>
    <row r="103" spans="1:12" x14ac:dyDescent="0.25">
      <c r="A103">
        <v>3</v>
      </c>
      <c r="B103">
        <v>3.1</v>
      </c>
      <c r="C103" t="s">
        <v>239</v>
      </c>
      <c r="D103" t="s">
        <v>1136</v>
      </c>
      <c r="E103" t="s">
        <v>1008</v>
      </c>
      <c r="F103" t="s">
        <v>1274</v>
      </c>
      <c r="G103" t="s">
        <v>1307</v>
      </c>
      <c r="H103" t="s">
        <v>1308</v>
      </c>
      <c r="I103" t="s">
        <v>1012</v>
      </c>
      <c r="J103" t="s">
        <v>63</v>
      </c>
      <c r="K103" t="s">
        <v>1013</v>
      </c>
      <c r="L103" t="s">
        <v>1014</v>
      </c>
    </row>
    <row r="104" spans="1:12" x14ac:dyDescent="0.25">
      <c r="A104">
        <v>3</v>
      </c>
      <c r="B104">
        <v>3.1</v>
      </c>
      <c r="C104" t="s">
        <v>259</v>
      </c>
      <c r="D104" t="s">
        <v>1136</v>
      </c>
      <c r="E104" t="s">
        <v>1008</v>
      </c>
      <c r="F104" t="s">
        <v>1274</v>
      </c>
      <c r="G104" t="s">
        <v>1309</v>
      </c>
      <c r="H104" t="s">
        <v>1310</v>
      </c>
      <c r="I104" t="s">
        <v>1018</v>
      </c>
      <c r="J104" t="s">
        <v>63</v>
      </c>
      <c r="K104" t="s">
        <v>1097</v>
      </c>
      <c r="L104" t="s">
        <v>996</v>
      </c>
    </row>
    <row r="105" spans="1:12" x14ac:dyDescent="0.25">
      <c r="A105">
        <v>3</v>
      </c>
      <c r="B105">
        <v>3.1</v>
      </c>
      <c r="C105" t="s">
        <v>349</v>
      </c>
      <c r="D105" t="s">
        <v>1136</v>
      </c>
      <c r="E105" t="s">
        <v>1008</v>
      </c>
      <c r="F105" t="s">
        <v>1274</v>
      </c>
      <c r="G105" t="s">
        <v>1311</v>
      </c>
      <c r="H105" t="s">
        <v>1312</v>
      </c>
      <c r="I105" t="s">
        <v>1188</v>
      </c>
      <c r="J105" t="s">
        <v>102</v>
      </c>
      <c r="K105" t="s">
        <v>1097</v>
      </c>
      <c r="L105" t="s">
        <v>996</v>
      </c>
    </row>
    <row r="106" spans="1:12" x14ac:dyDescent="0.25">
      <c r="A106">
        <v>3</v>
      </c>
      <c r="B106">
        <v>3.1</v>
      </c>
      <c r="C106" t="s">
        <v>250</v>
      </c>
      <c r="D106" t="s">
        <v>1136</v>
      </c>
      <c r="E106" t="s">
        <v>1008</v>
      </c>
      <c r="F106" t="s">
        <v>1274</v>
      </c>
      <c r="G106" t="s">
        <v>1313</v>
      </c>
      <c r="H106" t="s">
        <v>1314</v>
      </c>
      <c r="I106" t="s">
        <v>1018</v>
      </c>
      <c r="J106" t="s">
        <v>63</v>
      </c>
      <c r="K106" t="s">
        <v>1013</v>
      </c>
      <c r="L106" t="s">
        <v>1024</v>
      </c>
    </row>
    <row r="107" spans="1:12" x14ac:dyDescent="0.25">
      <c r="A107">
        <v>3</v>
      </c>
      <c r="B107">
        <v>3.1</v>
      </c>
      <c r="C107" t="s">
        <v>215</v>
      </c>
      <c r="D107" t="s">
        <v>1136</v>
      </c>
      <c r="E107" t="s">
        <v>1008</v>
      </c>
      <c r="F107" t="s">
        <v>1274</v>
      </c>
      <c r="G107" t="s">
        <v>1315</v>
      </c>
      <c r="H107" t="s">
        <v>1316</v>
      </c>
      <c r="I107" t="s">
        <v>1018</v>
      </c>
      <c r="J107" t="s">
        <v>63</v>
      </c>
      <c r="K107" t="s">
        <v>1013</v>
      </c>
      <c r="L107" t="s">
        <v>1024</v>
      </c>
    </row>
    <row r="108" spans="1:12" x14ac:dyDescent="0.25">
      <c r="A108">
        <v>3</v>
      </c>
      <c r="B108">
        <v>3.1</v>
      </c>
      <c r="C108" t="s">
        <v>260</v>
      </c>
      <c r="D108" t="s">
        <v>1136</v>
      </c>
      <c r="E108" t="s">
        <v>1008</v>
      </c>
      <c r="F108" t="s">
        <v>1274</v>
      </c>
      <c r="G108" t="s">
        <v>1317</v>
      </c>
      <c r="H108" t="s">
        <v>1318</v>
      </c>
      <c r="I108" t="s">
        <v>1012</v>
      </c>
      <c r="J108" t="s">
        <v>63</v>
      </c>
      <c r="K108" t="s">
        <v>1013</v>
      </c>
      <c r="L108" t="s">
        <v>1024</v>
      </c>
    </row>
    <row r="109" spans="1:12" x14ac:dyDescent="0.25">
      <c r="A109">
        <v>3</v>
      </c>
      <c r="B109">
        <v>3.1</v>
      </c>
      <c r="C109" t="s">
        <v>243</v>
      </c>
      <c r="D109" t="s">
        <v>1136</v>
      </c>
      <c r="E109" t="s">
        <v>1008</v>
      </c>
      <c r="F109" t="s">
        <v>1274</v>
      </c>
      <c r="G109" t="s">
        <v>1319</v>
      </c>
      <c r="H109" t="s">
        <v>1320</v>
      </c>
      <c r="I109" t="s">
        <v>1012</v>
      </c>
      <c r="J109" t="s">
        <v>63</v>
      </c>
      <c r="K109" t="s">
        <v>1013</v>
      </c>
      <c r="L109" t="s">
        <v>1024</v>
      </c>
    </row>
    <row r="110" spans="1:12" x14ac:dyDescent="0.25">
      <c r="A110">
        <v>3</v>
      </c>
      <c r="B110">
        <v>3.1</v>
      </c>
      <c r="C110" t="s">
        <v>31</v>
      </c>
      <c r="D110" t="s">
        <v>1136</v>
      </c>
      <c r="E110" t="s">
        <v>1226</v>
      </c>
      <c r="F110" t="s">
        <v>1274</v>
      </c>
      <c r="G110" t="s">
        <v>1321</v>
      </c>
      <c r="H110" t="s">
        <v>1322</v>
      </c>
      <c r="I110" t="s">
        <v>1233</v>
      </c>
      <c r="J110" t="s">
        <v>33</v>
      </c>
      <c r="K110" t="s">
        <v>1013</v>
      </c>
      <c r="L110" t="s">
        <v>1014</v>
      </c>
    </row>
    <row r="111" spans="1:12" x14ac:dyDescent="0.25">
      <c r="A111">
        <v>3</v>
      </c>
      <c r="B111">
        <v>3.1</v>
      </c>
      <c r="C111" t="s">
        <v>227</v>
      </c>
      <c r="D111" t="s">
        <v>1136</v>
      </c>
      <c r="E111" t="s">
        <v>1226</v>
      </c>
      <c r="F111" t="s">
        <v>1274</v>
      </c>
      <c r="G111" t="s">
        <v>1323</v>
      </c>
      <c r="H111" t="s">
        <v>1324</v>
      </c>
      <c r="I111" t="s">
        <v>1233</v>
      </c>
      <c r="J111" t="s">
        <v>229</v>
      </c>
      <c r="K111" t="s">
        <v>1097</v>
      </c>
      <c r="L111" t="s">
        <v>996</v>
      </c>
    </row>
    <row r="112" spans="1:12" x14ac:dyDescent="0.25">
      <c r="A112">
        <v>3</v>
      </c>
      <c r="B112">
        <v>3.1</v>
      </c>
      <c r="C112" t="s">
        <v>325</v>
      </c>
      <c r="D112" t="s">
        <v>1136</v>
      </c>
      <c r="E112" t="s">
        <v>1226</v>
      </c>
      <c r="F112" t="s">
        <v>1274</v>
      </c>
      <c r="G112" t="s">
        <v>1325</v>
      </c>
      <c r="H112" t="s">
        <v>1326</v>
      </c>
      <c r="I112" t="s">
        <v>1188</v>
      </c>
      <c r="J112" t="s">
        <v>176</v>
      </c>
      <c r="K112" t="s">
        <v>1013</v>
      </c>
      <c r="L112" t="s">
        <v>1014</v>
      </c>
    </row>
    <row r="113" spans="1:12" x14ac:dyDescent="0.25">
      <c r="A113">
        <v>3</v>
      </c>
      <c r="B113">
        <v>3.1</v>
      </c>
      <c r="C113" t="s">
        <v>171</v>
      </c>
      <c r="D113" t="s">
        <v>1136</v>
      </c>
      <c r="E113" t="s">
        <v>1226</v>
      </c>
      <c r="F113" t="s">
        <v>1274</v>
      </c>
      <c r="G113" t="s">
        <v>1327</v>
      </c>
      <c r="H113" t="s">
        <v>1328</v>
      </c>
      <c r="I113" t="s">
        <v>1233</v>
      </c>
      <c r="J113" t="s">
        <v>173</v>
      </c>
      <c r="K113" t="s">
        <v>1097</v>
      </c>
      <c r="L113" t="s">
        <v>996</v>
      </c>
    </row>
    <row r="114" spans="1:12" x14ac:dyDescent="0.25">
      <c r="A114">
        <v>3</v>
      </c>
      <c r="B114">
        <v>3.1</v>
      </c>
      <c r="C114" t="s">
        <v>248</v>
      </c>
      <c r="D114" t="s">
        <v>1136</v>
      </c>
      <c r="E114" t="s">
        <v>1226</v>
      </c>
      <c r="F114" t="s">
        <v>1274</v>
      </c>
      <c r="G114" t="s">
        <v>1329</v>
      </c>
      <c r="H114" t="s">
        <v>1330</v>
      </c>
      <c r="I114" t="s">
        <v>1233</v>
      </c>
      <c r="J114" t="s">
        <v>249</v>
      </c>
      <c r="K114" t="s">
        <v>1097</v>
      </c>
      <c r="L114" t="s">
        <v>996</v>
      </c>
    </row>
    <row r="115" spans="1:12" x14ac:dyDescent="0.25">
      <c r="A115">
        <v>3</v>
      </c>
      <c r="B115">
        <v>3.1</v>
      </c>
      <c r="C115" t="s">
        <v>183</v>
      </c>
      <c r="D115" t="s">
        <v>1136</v>
      </c>
      <c r="E115" t="s">
        <v>1226</v>
      </c>
      <c r="F115" t="s">
        <v>1274</v>
      </c>
      <c r="G115" t="s">
        <v>1331</v>
      </c>
      <c r="H115" t="s">
        <v>1332</v>
      </c>
      <c r="I115" t="s">
        <v>1233</v>
      </c>
      <c r="J115" t="s">
        <v>63</v>
      </c>
      <c r="K115" t="s">
        <v>1097</v>
      </c>
      <c r="L115" t="s">
        <v>996</v>
      </c>
    </row>
    <row r="116" spans="1:12" x14ac:dyDescent="0.25">
      <c r="A116">
        <v>3</v>
      </c>
      <c r="B116">
        <v>3.1</v>
      </c>
      <c r="C116" t="s">
        <v>1333</v>
      </c>
      <c r="D116" t="s">
        <v>1136</v>
      </c>
      <c r="E116" t="s">
        <v>1226</v>
      </c>
      <c r="F116" t="s">
        <v>1274</v>
      </c>
      <c r="G116" t="s">
        <v>1334</v>
      </c>
      <c r="H116" t="s">
        <v>1335</v>
      </c>
      <c r="I116" t="s">
        <v>1188</v>
      </c>
      <c r="J116" t="s">
        <v>176</v>
      </c>
      <c r="K116" t="s">
        <v>1013</v>
      </c>
      <c r="L116" t="s">
        <v>1024</v>
      </c>
    </row>
    <row r="117" spans="1:12" x14ac:dyDescent="0.25">
      <c r="A117">
        <v>3</v>
      </c>
      <c r="B117">
        <v>3.1</v>
      </c>
      <c r="C117" t="s">
        <v>287</v>
      </c>
      <c r="D117" t="s">
        <v>1136</v>
      </c>
      <c r="E117" t="s">
        <v>1226</v>
      </c>
      <c r="F117" t="s">
        <v>1274</v>
      </c>
      <c r="G117" t="s">
        <v>1336</v>
      </c>
      <c r="H117" t="s">
        <v>1337</v>
      </c>
      <c r="I117" t="s">
        <v>1188</v>
      </c>
      <c r="J117" t="s">
        <v>176</v>
      </c>
      <c r="K117" t="s">
        <v>1013</v>
      </c>
      <c r="L117" t="s">
        <v>1024</v>
      </c>
    </row>
    <row r="118" spans="1:12" x14ac:dyDescent="0.25">
      <c r="A118">
        <v>3</v>
      </c>
      <c r="B118">
        <v>3.1</v>
      </c>
      <c r="C118" t="s">
        <v>174</v>
      </c>
      <c r="D118" t="s">
        <v>1136</v>
      </c>
      <c r="E118" t="s">
        <v>1226</v>
      </c>
      <c r="F118" t="s">
        <v>1274</v>
      </c>
      <c r="G118" t="s">
        <v>1338</v>
      </c>
      <c r="H118" t="s">
        <v>1339</v>
      </c>
      <c r="I118" t="s">
        <v>1188</v>
      </c>
      <c r="J118" t="s">
        <v>176</v>
      </c>
      <c r="K118" t="s">
        <v>1013</v>
      </c>
      <c r="L118" t="s">
        <v>1024</v>
      </c>
    </row>
    <row r="119" spans="1:12" x14ac:dyDescent="0.25">
      <c r="A119">
        <v>3</v>
      </c>
      <c r="B119">
        <v>3.1</v>
      </c>
      <c r="C119" t="s">
        <v>204</v>
      </c>
      <c r="D119" t="s">
        <v>1136</v>
      </c>
      <c r="E119" t="s">
        <v>1226</v>
      </c>
      <c r="F119" t="s">
        <v>1274</v>
      </c>
      <c r="G119" t="s">
        <v>1340</v>
      </c>
      <c r="H119" t="s">
        <v>1341</v>
      </c>
      <c r="I119" t="s">
        <v>1233</v>
      </c>
      <c r="J119" t="s">
        <v>33</v>
      </c>
      <c r="K119" t="s">
        <v>1013</v>
      </c>
      <c r="L119" t="s">
        <v>1024</v>
      </c>
    </row>
    <row r="120" spans="1:12" x14ac:dyDescent="0.25">
      <c r="A120">
        <v>3</v>
      </c>
      <c r="B120">
        <v>3.1</v>
      </c>
      <c r="C120" t="s">
        <v>251</v>
      </c>
      <c r="D120" t="s">
        <v>1136</v>
      </c>
      <c r="E120" t="s">
        <v>1226</v>
      </c>
      <c r="F120" t="s">
        <v>1274</v>
      </c>
      <c r="G120" t="s">
        <v>1342</v>
      </c>
      <c r="H120" t="s">
        <v>1343</v>
      </c>
      <c r="I120" t="s">
        <v>1233</v>
      </c>
      <c r="J120" t="s">
        <v>33</v>
      </c>
      <c r="K120" t="s">
        <v>1013</v>
      </c>
      <c r="L120" t="s">
        <v>1024</v>
      </c>
    </row>
    <row r="121" spans="1:12" x14ac:dyDescent="0.25">
      <c r="A121">
        <v>3</v>
      </c>
      <c r="B121">
        <v>3.1</v>
      </c>
      <c r="C121" t="s">
        <v>164</v>
      </c>
      <c r="D121" t="s">
        <v>1136</v>
      </c>
      <c r="E121" t="s">
        <v>1226</v>
      </c>
      <c r="F121" t="s">
        <v>1274</v>
      </c>
      <c r="G121" t="s">
        <v>1344</v>
      </c>
      <c r="H121" t="s">
        <v>1345</v>
      </c>
      <c r="I121" t="s">
        <v>1233</v>
      </c>
      <c r="J121" t="s">
        <v>33</v>
      </c>
      <c r="K121" t="s">
        <v>1013</v>
      </c>
      <c r="L121" t="s">
        <v>1024</v>
      </c>
    </row>
    <row r="122" spans="1:12" x14ac:dyDescent="0.25">
      <c r="A122">
        <v>3</v>
      </c>
      <c r="B122">
        <v>3.1</v>
      </c>
      <c r="C122" t="s">
        <v>255</v>
      </c>
      <c r="D122" t="s">
        <v>1136</v>
      </c>
      <c r="E122" t="s">
        <v>1346</v>
      </c>
      <c r="F122" t="s">
        <v>1274</v>
      </c>
      <c r="G122" t="s">
        <v>1347</v>
      </c>
      <c r="H122" t="s">
        <v>1348</v>
      </c>
      <c r="I122" t="s">
        <v>1018</v>
      </c>
      <c r="J122" t="s">
        <v>256</v>
      </c>
      <c r="K122" t="s">
        <v>1013</v>
      </c>
      <c r="L122" t="s">
        <v>1014</v>
      </c>
    </row>
    <row r="123" spans="1:12" x14ac:dyDescent="0.25">
      <c r="A123">
        <v>3</v>
      </c>
      <c r="B123">
        <v>3.1</v>
      </c>
      <c r="C123" t="s">
        <v>132</v>
      </c>
      <c r="D123" t="s">
        <v>1136</v>
      </c>
      <c r="E123" t="s">
        <v>1346</v>
      </c>
      <c r="F123" t="s">
        <v>1274</v>
      </c>
      <c r="G123" t="s">
        <v>1349</v>
      </c>
      <c r="H123" t="s">
        <v>1350</v>
      </c>
      <c r="I123" t="s">
        <v>1018</v>
      </c>
      <c r="J123" t="s">
        <v>134</v>
      </c>
      <c r="K123" t="s">
        <v>1013</v>
      </c>
      <c r="L123" t="s">
        <v>1014</v>
      </c>
    </row>
    <row r="124" spans="1:12" x14ac:dyDescent="0.25">
      <c r="A124">
        <v>3</v>
      </c>
      <c r="B124">
        <v>3.1</v>
      </c>
      <c r="C124" t="s">
        <v>138</v>
      </c>
      <c r="D124" t="s">
        <v>1136</v>
      </c>
      <c r="E124" t="s">
        <v>1346</v>
      </c>
      <c r="F124" t="s">
        <v>1274</v>
      </c>
      <c r="G124" t="s">
        <v>1351</v>
      </c>
      <c r="H124" t="s">
        <v>1352</v>
      </c>
      <c r="I124" t="s">
        <v>1233</v>
      </c>
      <c r="J124" t="s">
        <v>56</v>
      </c>
      <c r="K124" t="s">
        <v>1353</v>
      </c>
      <c r="L124" t="s">
        <v>996</v>
      </c>
    </row>
    <row r="125" spans="1:12" x14ac:dyDescent="0.25">
      <c r="A125">
        <v>3</v>
      </c>
      <c r="B125">
        <v>3.1</v>
      </c>
      <c r="C125" t="s">
        <v>54</v>
      </c>
      <c r="D125" t="s">
        <v>1136</v>
      </c>
      <c r="E125" t="s">
        <v>1346</v>
      </c>
      <c r="F125" t="s">
        <v>1274</v>
      </c>
      <c r="G125" t="s">
        <v>1354</v>
      </c>
      <c r="H125" t="s">
        <v>1355</v>
      </c>
      <c r="I125" t="s">
        <v>1233</v>
      </c>
      <c r="J125" t="s">
        <v>56</v>
      </c>
      <c r="K125" t="s">
        <v>1097</v>
      </c>
      <c r="L125" t="s">
        <v>996</v>
      </c>
    </row>
    <row r="126" spans="1:12" x14ac:dyDescent="0.25">
      <c r="A126">
        <v>3</v>
      </c>
      <c r="B126">
        <v>3.1</v>
      </c>
      <c r="C126" t="s">
        <v>1356</v>
      </c>
      <c r="D126" t="s">
        <v>1136</v>
      </c>
      <c r="E126" t="s">
        <v>1346</v>
      </c>
      <c r="F126" t="s">
        <v>1274</v>
      </c>
      <c r="G126" t="s">
        <v>1357</v>
      </c>
      <c r="H126" t="s">
        <v>1358</v>
      </c>
      <c r="I126" t="s">
        <v>1018</v>
      </c>
      <c r="J126" t="s">
        <v>1359</v>
      </c>
      <c r="K126" t="s">
        <v>1097</v>
      </c>
      <c r="L126" t="s">
        <v>996</v>
      </c>
    </row>
    <row r="127" spans="1:12" x14ac:dyDescent="0.25">
      <c r="A127">
        <v>3</v>
      </c>
      <c r="B127">
        <v>3.1</v>
      </c>
      <c r="C127" t="s">
        <v>161</v>
      </c>
      <c r="D127" t="s">
        <v>1360</v>
      </c>
      <c r="E127" t="s">
        <v>1346</v>
      </c>
      <c r="F127" t="s">
        <v>1361</v>
      </c>
      <c r="G127" t="s">
        <v>1362</v>
      </c>
      <c r="H127" t="s">
        <v>1363</v>
      </c>
      <c r="I127" t="s">
        <v>1233</v>
      </c>
      <c r="J127" t="s">
        <v>163</v>
      </c>
      <c r="K127" t="s">
        <v>1097</v>
      </c>
      <c r="L127" t="s">
        <v>996</v>
      </c>
    </row>
    <row r="128" spans="1:12" x14ac:dyDescent="0.25">
      <c r="A128">
        <v>3</v>
      </c>
      <c r="B128">
        <v>3.1</v>
      </c>
      <c r="C128" t="s">
        <v>67</v>
      </c>
      <c r="D128" t="s">
        <v>1136</v>
      </c>
      <c r="E128" t="s">
        <v>1008</v>
      </c>
      <c r="F128" t="s">
        <v>1274</v>
      </c>
      <c r="G128" t="s">
        <v>1364</v>
      </c>
      <c r="H128" t="s">
        <v>1365</v>
      </c>
      <c r="I128" t="s">
        <v>1018</v>
      </c>
      <c r="J128" t="s">
        <v>69</v>
      </c>
      <c r="K128" t="s">
        <v>1142</v>
      </c>
      <c r="L128" t="s">
        <v>1014</v>
      </c>
    </row>
    <row r="129" spans="1:13" x14ac:dyDescent="0.25">
      <c r="A129">
        <v>3</v>
      </c>
      <c r="B129">
        <v>3.1</v>
      </c>
      <c r="C129" t="s">
        <v>75</v>
      </c>
      <c r="D129" t="s">
        <v>1136</v>
      </c>
      <c r="E129" t="s">
        <v>1008</v>
      </c>
      <c r="F129" t="s">
        <v>1274</v>
      </c>
      <c r="G129" t="s">
        <v>1366</v>
      </c>
      <c r="H129" t="s">
        <v>1367</v>
      </c>
      <c r="I129" t="s">
        <v>1018</v>
      </c>
      <c r="J129" t="s">
        <v>69</v>
      </c>
      <c r="K129" t="s">
        <v>1013</v>
      </c>
      <c r="L129" t="s">
        <v>1014</v>
      </c>
    </row>
    <row r="130" spans="1:13" x14ac:dyDescent="0.25">
      <c r="A130">
        <v>3</v>
      </c>
      <c r="B130">
        <v>3.1</v>
      </c>
      <c r="C130" t="s">
        <v>72</v>
      </c>
      <c r="D130" t="s">
        <v>1136</v>
      </c>
      <c r="E130" t="s">
        <v>1008</v>
      </c>
      <c r="F130" t="s">
        <v>1274</v>
      </c>
      <c r="G130" t="s">
        <v>1368</v>
      </c>
      <c r="H130" t="s">
        <v>1369</v>
      </c>
      <c r="I130" t="s">
        <v>1188</v>
      </c>
      <c r="J130" t="s">
        <v>74</v>
      </c>
      <c r="K130" t="s">
        <v>1013</v>
      </c>
      <c r="L130" t="s">
        <v>1014</v>
      </c>
    </row>
    <row r="131" spans="1:13" x14ac:dyDescent="0.25">
      <c r="A131">
        <v>3</v>
      </c>
      <c r="B131">
        <v>3.1</v>
      </c>
      <c r="C131" t="s">
        <v>70</v>
      </c>
      <c r="D131" t="s">
        <v>1136</v>
      </c>
      <c r="E131" t="s">
        <v>1008</v>
      </c>
      <c r="F131" t="s">
        <v>1274</v>
      </c>
      <c r="G131" t="s">
        <v>1370</v>
      </c>
      <c r="H131" t="s">
        <v>1371</v>
      </c>
      <c r="I131" t="s">
        <v>1018</v>
      </c>
      <c r="J131" t="s">
        <v>69</v>
      </c>
      <c r="K131" t="s">
        <v>1013</v>
      </c>
      <c r="L131" t="s">
        <v>1024</v>
      </c>
    </row>
    <row r="132" spans="1:13" x14ac:dyDescent="0.25">
      <c r="A132">
        <v>3</v>
      </c>
      <c r="B132">
        <v>3.1</v>
      </c>
      <c r="C132" t="s">
        <v>61</v>
      </c>
      <c r="D132" t="s">
        <v>1136</v>
      </c>
      <c r="E132" t="s">
        <v>1008</v>
      </c>
      <c r="F132" t="s">
        <v>1274</v>
      </c>
      <c r="G132" t="s">
        <v>1372</v>
      </c>
      <c r="H132" t="s">
        <v>1373</v>
      </c>
      <c r="I132" t="s">
        <v>1012</v>
      </c>
      <c r="J132" t="s">
        <v>63</v>
      </c>
      <c r="K132" t="s">
        <v>1123</v>
      </c>
      <c r="L132" t="s">
        <v>1124</v>
      </c>
      <c r="M132" t="s">
        <v>1125</v>
      </c>
    </row>
    <row r="133" spans="1:13" x14ac:dyDescent="0.25">
      <c r="A133">
        <v>3</v>
      </c>
      <c r="B133">
        <v>3.1</v>
      </c>
      <c r="C133" t="s">
        <v>382</v>
      </c>
      <c r="D133" t="s">
        <v>1136</v>
      </c>
      <c r="E133" t="s">
        <v>1008</v>
      </c>
      <c r="F133" t="s">
        <v>1274</v>
      </c>
      <c r="G133" t="s">
        <v>1374</v>
      </c>
      <c r="H133" t="s">
        <v>1375</v>
      </c>
      <c r="I133" t="s">
        <v>1012</v>
      </c>
      <c r="J133" t="s">
        <v>63</v>
      </c>
      <c r="K133" t="s">
        <v>1123</v>
      </c>
      <c r="L133" t="s">
        <v>1124</v>
      </c>
      <c r="M133" t="s">
        <v>1125</v>
      </c>
    </row>
    <row r="134" spans="1:13" x14ac:dyDescent="0.25">
      <c r="A134" t="s">
        <v>1376</v>
      </c>
      <c r="B134" t="s">
        <v>1376</v>
      </c>
      <c r="C134" t="s">
        <v>43</v>
      </c>
      <c r="D134" t="s">
        <v>1360</v>
      </c>
      <c r="E134" t="s">
        <v>1008</v>
      </c>
      <c r="F134" t="s">
        <v>1361</v>
      </c>
      <c r="G134" t="s">
        <v>1377</v>
      </c>
      <c r="H134" t="s">
        <v>1378</v>
      </c>
      <c r="I134" t="s">
        <v>1012</v>
      </c>
      <c r="J134" t="s">
        <v>40</v>
      </c>
      <c r="K134" t="s">
        <v>1097</v>
      </c>
      <c r="L134" t="s">
        <v>996</v>
      </c>
    </row>
    <row r="135" spans="1:13" x14ac:dyDescent="0.25">
      <c r="A135" t="s">
        <v>1376</v>
      </c>
      <c r="B135" t="s">
        <v>1376</v>
      </c>
      <c r="C135" t="s">
        <v>1379</v>
      </c>
      <c r="D135" t="s">
        <v>1360</v>
      </c>
      <c r="E135" t="s">
        <v>1008</v>
      </c>
      <c r="F135" t="s">
        <v>1361</v>
      </c>
      <c r="G135" t="s">
        <v>1380</v>
      </c>
      <c r="H135" t="s">
        <v>1381</v>
      </c>
      <c r="I135" t="s">
        <v>1012</v>
      </c>
      <c r="J135" t="s">
        <v>1382</v>
      </c>
      <c r="K135" t="s">
        <v>1013</v>
      </c>
      <c r="L135" t="s">
        <v>1014</v>
      </c>
    </row>
    <row r="136" spans="1:13" x14ac:dyDescent="0.25">
      <c r="A136" t="s">
        <v>1376</v>
      </c>
      <c r="B136" t="s">
        <v>1376</v>
      </c>
      <c r="C136" t="s">
        <v>1383</v>
      </c>
      <c r="D136" t="s">
        <v>1360</v>
      </c>
      <c r="E136" t="s">
        <v>1008</v>
      </c>
      <c r="F136" t="s">
        <v>1361</v>
      </c>
      <c r="G136" t="s">
        <v>1384</v>
      </c>
      <c r="H136" t="s">
        <v>1385</v>
      </c>
      <c r="I136" t="s">
        <v>1012</v>
      </c>
      <c r="J136" t="s">
        <v>40</v>
      </c>
      <c r="K136" t="s">
        <v>1097</v>
      </c>
      <c r="L136" t="s">
        <v>996</v>
      </c>
    </row>
    <row r="137" spans="1:13" x14ac:dyDescent="0.25">
      <c r="A137" t="s">
        <v>1376</v>
      </c>
      <c r="B137" t="s">
        <v>1376</v>
      </c>
      <c r="C137" t="s">
        <v>1386</v>
      </c>
      <c r="D137" t="s">
        <v>1360</v>
      </c>
      <c r="E137" t="s">
        <v>1008</v>
      </c>
      <c r="F137" t="s">
        <v>1361</v>
      </c>
      <c r="G137" t="s">
        <v>1387</v>
      </c>
      <c r="H137" t="s">
        <v>1388</v>
      </c>
      <c r="I137" t="s">
        <v>1018</v>
      </c>
      <c r="J137" t="s">
        <v>40</v>
      </c>
      <c r="K137" t="s">
        <v>1097</v>
      </c>
      <c r="L137" t="s">
        <v>996</v>
      </c>
    </row>
    <row r="138" spans="1:13" x14ac:dyDescent="0.25">
      <c r="A138" t="s">
        <v>1376</v>
      </c>
      <c r="B138" t="s">
        <v>1376</v>
      </c>
      <c r="C138" t="s">
        <v>1389</v>
      </c>
      <c r="D138" t="s">
        <v>1360</v>
      </c>
      <c r="E138" t="s">
        <v>1008</v>
      </c>
      <c r="F138" t="s">
        <v>1361</v>
      </c>
      <c r="G138" t="s">
        <v>1390</v>
      </c>
      <c r="H138" t="s">
        <v>1391</v>
      </c>
      <c r="I138" t="s">
        <v>1188</v>
      </c>
      <c r="J138" t="s">
        <v>1392</v>
      </c>
      <c r="K138" t="s">
        <v>1013</v>
      </c>
      <c r="L138" t="s">
        <v>1014</v>
      </c>
    </row>
    <row r="139" spans="1:13" x14ac:dyDescent="0.25">
      <c r="A139" t="s">
        <v>1376</v>
      </c>
      <c r="B139" t="s">
        <v>1376</v>
      </c>
      <c r="C139" t="s">
        <v>1393</v>
      </c>
      <c r="D139" t="s">
        <v>1360</v>
      </c>
      <c r="E139" t="s">
        <v>1008</v>
      </c>
      <c r="F139" t="s">
        <v>1361</v>
      </c>
      <c r="G139" t="s">
        <v>1394</v>
      </c>
      <c r="H139" t="s">
        <v>1395</v>
      </c>
      <c r="I139" t="s">
        <v>1188</v>
      </c>
      <c r="J139" t="s">
        <v>40</v>
      </c>
      <c r="K139" t="s">
        <v>1097</v>
      </c>
      <c r="L139" t="s">
        <v>996</v>
      </c>
    </row>
    <row r="140" spans="1:13" x14ac:dyDescent="0.25">
      <c r="A140" t="s">
        <v>1376</v>
      </c>
      <c r="B140" t="s">
        <v>1376</v>
      </c>
      <c r="C140" t="s">
        <v>1396</v>
      </c>
      <c r="D140" t="s">
        <v>1360</v>
      </c>
      <c r="E140" t="s">
        <v>1008</v>
      </c>
      <c r="F140" t="s">
        <v>1361</v>
      </c>
      <c r="G140" t="s">
        <v>1397</v>
      </c>
      <c r="H140" t="s">
        <v>1398</v>
      </c>
      <c r="I140" t="s">
        <v>1012</v>
      </c>
      <c r="J140" t="s">
        <v>1382</v>
      </c>
      <c r="K140" t="s">
        <v>1013</v>
      </c>
      <c r="L140" t="s">
        <v>1014</v>
      </c>
    </row>
    <row r="141" spans="1:13" x14ac:dyDescent="0.25">
      <c r="A141" t="s">
        <v>1376</v>
      </c>
      <c r="B141" t="s">
        <v>1376</v>
      </c>
      <c r="C141" t="s">
        <v>1399</v>
      </c>
      <c r="D141" t="s">
        <v>1360</v>
      </c>
      <c r="E141" t="s">
        <v>1008</v>
      </c>
      <c r="F141" t="s">
        <v>1361</v>
      </c>
      <c r="G141" t="s">
        <v>1400</v>
      </c>
      <c r="H141" t="s">
        <v>1401</v>
      </c>
      <c r="I141" t="s">
        <v>1012</v>
      </c>
      <c r="J141" t="s">
        <v>1382</v>
      </c>
      <c r="K141" t="s">
        <v>1013</v>
      </c>
      <c r="L141" t="s">
        <v>1024</v>
      </c>
    </row>
    <row r="142" spans="1:13" x14ac:dyDescent="0.25">
      <c r="A142" t="s">
        <v>1376</v>
      </c>
      <c r="B142" t="s">
        <v>1376</v>
      </c>
      <c r="C142" t="s">
        <v>1402</v>
      </c>
      <c r="D142" t="s">
        <v>1360</v>
      </c>
      <c r="E142" t="s">
        <v>1008</v>
      </c>
      <c r="F142" t="s">
        <v>1361</v>
      </c>
      <c r="G142" t="s">
        <v>1403</v>
      </c>
      <c r="H142" t="s">
        <v>1404</v>
      </c>
      <c r="I142" t="s">
        <v>1012</v>
      </c>
      <c r="J142" t="s">
        <v>1382</v>
      </c>
      <c r="K142" t="s">
        <v>1013</v>
      </c>
      <c r="L142" t="s">
        <v>1024</v>
      </c>
    </row>
    <row r="143" spans="1:13" x14ac:dyDescent="0.25">
      <c r="A143" t="s">
        <v>1376</v>
      </c>
      <c r="B143" t="s">
        <v>1376</v>
      </c>
      <c r="C143" t="s">
        <v>1405</v>
      </c>
      <c r="D143" t="s">
        <v>1360</v>
      </c>
      <c r="E143" t="s">
        <v>1008</v>
      </c>
      <c r="F143" t="s">
        <v>1361</v>
      </c>
      <c r="G143" t="s">
        <v>1406</v>
      </c>
      <c r="H143" t="s">
        <v>1407</v>
      </c>
      <c r="I143" t="s">
        <v>1012</v>
      </c>
      <c r="J143" t="s">
        <v>1382</v>
      </c>
      <c r="K143" t="s">
        <v>1013</v>
      </c>
      <c r="L143" t="s">
        <v>1024</v>
      </c>
    </row>
    <row r="144" spans="1:13" x14ac:dyDescent="0.25">
      <c r="A144" t="s">
        <v>1376</v>
      </c>
      <c r="B144" t="s">
        <v>1376</v>
      </c>
      <c r="C144" t="s">
        <v>1408</v>
      </c>
      <c r="D144" t="s">
        <v>1360</v>
      </c>
      <c r="E144" t="s">
        <v>1008</v>
      </c>
      <c r="F144" t="s">
        <v>1361</v>
      </c>
      <c r="G144" t="s">
        <v>1409</v>
      </c>
      <c r="H144" t="s">
        <v>1410</v>
      </c>
      <c r="I144" t="s">
        <v>1012</v>
      </c>
      <c r="J144" t="s">
        <v>1382</v>
      </c>
      <c r="K144" t="s">
        <v>1013</v>
      </c>
      <c r="L144" t="s">
        <v>1024</v>
      </c>
    </row>
    <row r="145" spans="1:12" x14ac:dyDescent="0.25">
      <c r="A145" t="s">
        <v>1376</v>
      </c>
      <c r="B145" t="s">
        <v>1376</v>
      </c>
      <c r="C145" t="s">
        <v>1411</v>
      </c>
      <c r="D145" t="s">
        <v>1360</v>
      </c>
      <c r="E145" t="s">
        <v>1008</v>
      </c>
      <c r="F145" t="s">
        <v>1361</v>
      </c>
      <c r="G145" t="s">
        <v>1412</v>
      </c>
      <c r="H145" t="s">
        <v>1413</v>
      </c>
      <c r="I145" t="s">
        <v>1012</v>
      </c>
      <c r="J145" t="s">
        <v>1382</v>
      </c>
      <c r="K145" t="s">
        <v>1013</v>
      </c>
      <c r="L145" t="s">
        <v>1024</v>
      </c>
    </row>
    <row r="146" spans="1:12" x14ac:dyDescent="0.25">
      <c r="A146" t="s">
        <v>1376</v>
      </c>
      <c r="B146" t="s">
        <v>1376</v>
      </c>
      <c r="C146" t="s">
        <v>38</v>
      </c>
      <c r="D146" t="s">
        <v>1360</v>
      </c>
      <c r="E146" t="s">
        <v>1008</v>
      </c>
      <c r="F146" t="s">
        <v>1361</v>
      </c>
      <c r="G146" t="s">
        <v>1414</v>
      </c>
      <c r="H146" t="s">
        <v>1415</v>
      </c>
      <c r="I146" t="s">
        <v>1012</v>
      </c>
      <c r="J146" t="s">
        <v>40</v>
      </c>
      <c r="K146" t="s">
        <v>1142</v>
      </c>
      <c r="L146" t="s">
        <v>1014</v>
      </c>
    </row>
    <row r="147" spans="1:12" x14ac:dyDescent="0.25">
      <c r="A147" t="s">
        <v>1376</v>
      </c>
      <c r="B147" t="s">
        <v>1376</v>
      </c>
      <c r="C147" t="s">
        <v>253</v>
      </c>
      <c r="D147" t="s">
        <v>1360</v>
      </c>
      <c r="E147" t="s">
        <v>1226</v>
      </c>
      <c r="F147" t="s">
        <v>1361</v>
      </c>
      <c r="G147" t="s">
        <v>1416</v>
      </c>
      <c r="H147" t="s">
        <v>1417</v>
      </c>
      <c r="I147" t="s">
        <v>1188</v>
      </c>
      <c r="J147" t="s">
        <v>254</v>
      </c>
      <c r="K147" t="s">
        <v>1013</v>
      </c>
      <c r="L147" t="s">
        <v>1014</v>
      </c>
    </row>
    <row r="148" spans="1:12" x14ac:dyDescent="0.25">
      <c r="A148" t="s">
        <v>1376</v>
      </c>
      <c r="B148" t="s">
        <v>1376</v>
      </c>
      <c r="C148" t="s">
        <v>1418</v>
      </c>
      <c r="D148" t="s">
        <v>1360</v>
      </c>
      <c r="E148" t="s">
        <v>1008</v>
      </c>
      <c r="F148" t="s">
        <v>1361</v>
      </c>
      <c r="G148" t="s">
        <v>1419</v>
      </c>
      <c r="H148" t="s">
        <v>1420</v>
      </c>
      <c r="I148" t="s">
        <v>1188</v>
      </c>
      <c r="J148" t="s">
        <v>245</v>
      </c>
      <c r="K148" t="s">
        <v>1013</v>
      </c>
      <c r="L148" t="s">
        <v>1014</v>
      </c>
    </row>
    <row r="149" spans="1:12" x14ac:dyDescent="0.25">
      <c r="A149" t="s">
        <v>1376</v>
      </c>
      <c r="B149" t="s">
        <v>1376</v>
      </c>
      <c r="C149" t="s">
        <v>1421</v>
      </c>
      <c r="D149" t="s">
        <v>1360</v>
      </c>
      <c r="E149" t="s">
        <v>1008</v>
      </c>
      <c r="F149" t="s">
        <v>1361</v>
      </c>
      <c r="G149" t="s">
        <v>1422</v>
      </c>
      <c r="H149" t="s">
        <v>1423</v>
      </c>
      <c r="I149" t="s">
        <v>1188</v>
      </c>
      <c r="J149" t="s">
        <v>245</v>
      </c>
      <c r="K149" t="s">
        <v>1013</v>
      </c>
      <c r="L149" t="s">
        <v>1024</v>
      </c>
    </row>
    <row r="150" spans="1:12" x14ac:dyDescent="0.25">
      <c r="A150" t="s">
        <v>1376</v>
      </c>
      <c r="B150" t="s">
        <v>1376</v>
      </c>
      <c r="C150" t="s">
        <v>356</v>
      </c>
      <c r="D150" t="s">
        <v>1360</v>
      </c>
      <c r="E150" t="s">
        <v>1008</v>
      </c>
      <c r="F150" t="s">
        <v>1361</v>
      </c>
      <c r="G150" t="s">
        <v>1424</v>
      </c>
      <c r="H150" t="s">
        <v>1425</v>
      </c>
      <c r="I150" t="s">
        <v>1188</v>
      </c>
      <c r="J150" t="s">
        <v>245</v>
      </c>
      <c r="K150" t="s">
        <v>1013</v>
      </c>
      <c r="L150" t="s">
        <v>1024</v>
      </c>
    </row>
    <row r="151" spans="1:12" x14ac:dyDescent="0.25">
      <c r="A151" t="s">
        <v>1376</v>
      </c>
      <c r="B151" t="s">
        <v>1376</v>
      </c>
      <c r="C151" t="s">
        <v>258</v>
      </c>
      <c r="D151" t="s">
        <v>1360</v>
      </c>
      <c r="E151" t="s">
        <v>1008</v>
      </c>
      <c r="F151" t="s">
        <v>1361</v>
      </c>
      <c r="G151" t="s">
        <v>1426</v>
      </c>
      <c r="H151" t="s">
        <v>1427</v>
      </c>
      <c r="I151" t="s">
        <v>1188</v>
      </c>
      <c r="J151" t="s">
        <v>245</v>
      </c>
      <c r="K151" t="s">
        <v>1013</v>
      </c>
      <c r="L151" t="s">
        <v>1024</v>
      </c>
    </row>
    <row r="152" spans="1:12" x14ac:dyDescent="0.25">
      <c r="A152" t="s">
        <v>1376</v>
      </c>
      <c r="B152" t="s">
        <v>1376</v>
      </c>
      <c r="C152" t="s">
        <v>244</v>
      </c>
      <c r="D152" t="s">
        <v>1360</v>
      </c>
      <c r="E152" t="s">
        <v>1008</v>
      </c>
      <c r="F152" t="s">
        <v>1361</v>
      </c>
      <c r="G152" t="s">
        <v>1428</v>
      </c>
      <c r="H152" t="s">
        <v>1429</v>
      </c>
      <c r="I152" t="s">
        <v>1188</v>
      </c>
      <c r="J152" t="s">
        <v>245</v>
      </c>
      <c r="K152" t="s">
        <v>1013</v>
      </c>
      <c r="L152" t="s">
        <v>1024</v>
      </c>
    </row>
    <row r="153" spans="1:12" x14ac:dyDescent="0.25">
      <c r="A153" t="s">
        <v>1376</v>
      </c>
      <c r="B153" t="s">
        <v>1376</v>
      </c>
      <c r="C153" t="s">
        <v>1430</v>
      </c>
      <c r="D153" t="s">
        <v>1360</v>
      </c>
      <c r="E153" t="s">
        <v>1008</v>
      </c>
      <c r="F153" t="s">
        <v>1361</v>
      </c>
      <c r="G153" t="s">
        <v>1431</v>
      </c>
      <c r="H153" t="s">
        <v>1432</v>
      </c>
      <c r="I153" t="s">
        <v>1188</v>
      </c>
      <c r="J153" t="s">
        <v>245</v>
      </c>
      <c r="K153" t="s">
        <v>1013</v>
      </c>
      <c r="L153" t="s">
        <v>1024</v>
      </c>
    </row>
    <row r="154" spans="1:12" x14ac:dyDescent="0.25">
      <c r="A154" t="s">
        <v>1376</v>
      </c>
      <c r="B154" t="s">
        <v>1376</v>
      </c>
      <c r="C154" t="s">
        <v>1433</v>
      </c>
      <c r="D154" t="s">
        <v>1360</v>
      </c>
      <c r="E154" t="s">
        <v>1008</v>
      </c>
      <c r="F154" t="s">
        <v>1361</v>
      </c>
      <c r="G154" t="s">
        <v>1434</v>
      </c>
      <c r="H154" t="s">
        <v>1435</v>
      </c>
      <c r="I154" t="s">
        <v>1188</v>
      </c>
      <c r="J154" t="s">
        <v>245</v>
      </c>
      <c r="K154" t="s">
        <v>1013</v>
      </c>
      <c r="L154" t="s">
        <v>1024</v>
      </c>
    </row>
    <row r="155" spans="1:12" x14ac:dyDescent="0.25">
      <c r="A155" t="s">
        <v>1376</v>
      </c>
      <c r="B155" t="s">
        <v>1376</v>
      </c>
      <c r="C155" t="s">
        <v>25</v>
      </c>
      <c r="D155" t="s">
        <v>1360</v>
      </c>
      <c r="E155" t="s">
        <v>1008</v>
      </c>
      <c r="F155" t="s">
        <v>1436</v>
      </c>
      <c r="G155" t="s">
        <v>1437</v>
      </c>
      <c r="H155" t="s">
        <v>1438</v>
      </c>
      <c r="I155" t="s">
        <v>1012</v>
      </c>
      <c r="J155" t="s">
        <v>17</v>
      </c>
      <c r="K155" t="s">
        <v>1013</v>
      </c>
      <c r="L155" t="s">
        <v>1014</v>
      </c>
    </row>
    <row r="156" spans="1:12" x14ac:dyDescent="0.25">
      <c r="A156" t="s">
        <v>1376</v>
      </c>
      <c r="B156" t="s">
        <v>1376</v>
      </c>
      <c r="C156" t="s">
        <v>15</v>
      </c>
      <c r="D156" t="s">
        <v>1360</v>
      </c>
      <c r="E156" t="s">
        <v>1008</v>
      </c>
      <c r="F156" t="s">
        <v>1436</v>
      </c>
      <c r="G156" t="s">
        <v>1439</v>
      </c>
      <c r="H156" t="s">
        <v>1440</v>
      </c>
      <c r="I156" t="s">
        <v>1012</v>
      </c>
      <c r="J156" t="s">
        <v>17</v>
      </c>
      <c r="K156" t="s">
        <v>1013</v>
      </c>
      <c r="L156" t="s">
        <v>1014</v>
      </c>
    </row>
    <row r="157" spans="1:12" x14ac:dyDescent="0.25">
      <c r="A157" t="s">
        <v>1376</v>
      </c>
      <c r="B157" t="s">
        <v>1376</v>
      </c>
      <c r="C157" t="s">
        <v>23</v>
      </c>
      <c r="D157" t="s">
        <v>1360</v>
      </c>
      <c r="E157" t="s">
        <v>1008</v>
      </c>
      <c r="F157" t="s">
        <v>1436</v>
      </c>
      <c r="G157" t="s">
        <v>1441</v>
      </c>
      <c r="H157" t="s">
        <v>1442</v>
      </c>
      <c r="I157" t="s">
        <v>1018</v>
      </c>
      <c r="J157" t="s">
        <v>17</v>
      </c>
      <c r="K157" t="s">
        <v>1013</v>
      </c>
      <c r="L157" t="s">
        <v>1014</v>
      </c>
    </row>
    <row r="158" spans="1:12" x14ac:dyDescent="0.25">
      <c r="A158" t="s">
        <v>1376</v>
      </c>
      <c r="B158" t="s">
        <v>1376</v>
      </c>
      <c r="C158" t="s">
        <v>21</v>
      </c>
      <c r="D158" t="s">
        <v>1360</v>
      </c>
      <c r="E158" t="s">
        <v>1008</v>
      </c>
      <c r="F158" t="s">
        <v>1436</v>
      </c>
      <c r="G158" t="s">
        <v>1443</v>
      </c>
      <c r="H158" t="s">
        <v>1444</v>
      </c>
      <c r="I158" t="s">
        <v>1018</v>
      </c>
      <c r="J158" t="s">
        <v>17</v>
      </c>
      <c r="K158" t="s">
        <v>1097</v>
      </c>
      <c r="L158" t="s">
        <v>996</v>
      </c>
    </row>
    <row r="159" spans="1:12" x14ac:dyDescent="0.25">
      <c r="A159" t="s">
        <v>1376</v>
      </c>
      <c r="B159" t="s">
        <v>1376</v>
      </c>
      <c r="C159" t="s">
        <v>1445</v>
      </c>
      <c r="D159" t="s">
        <v>1360</v>
      </c>
      <c r="E159" t="s">
        <v>1008</v>
      </c>
      <c r="F159" t="s">
        <v>1436</v>
      </c>
      <c r="G159" t="s">
        <v>1446</v>
      </c>
      <c r="H159" t="s">
        <v>1447</v>
      </c>
      <c r="I159" t="s">
        <v>1012</v>
      </c>
      <c r="J159" t="s">
        <v>17</v>
      </c>
      <c r="K159" t="s">
        <v>1013</v>
      </c>
      <c r="L159" t="s">
        <v>1024</v>
      </c>
    </row>
    <row r="160" spans="1:12" x14ac:dyDescent="0.25">
      <c r="A160" t="s">
        <v>1376</v>
      </c>
      <c r="B160" t="s">
        <v>1376</v>
      </c>
      <c r="C160" t="s">
        <v>1448</v>
      </c>
      <c r="D160" t="s">
        <v>1360</v>
      </c>
      <c r="E160" t="s">
        <v>1008</v>
      </c>
      <c r="F160" t="s">
        <v>1436</v>
      </c>
      <c r="G160" t="s">
        <v>1449</v>
      </c>
      <c r="H160" t="s">
        <v>1450</v>
      </c>
      <c r="I160" t="s">
        <v>1012</v>
      </c>
      <c r="J160" t="s">
        <v>17</v>
      </c>
      <c r="K160" t="s">
        <v>1013</v>
      </c>
      <c r="L160" t="s">
        <v>1024</v>
      </c>
    </row>
    <row r="161" spans="1:13" x14ac:dyDescent="0.25">
      <c r="A161" t="s">
        <v>1376</v>
      </c>
      <c r="B161" t="s">
        <v>1376</v>
      </c>
      <c r="C161" t="s">
        <v>1451</v>
      </c>
      <c r="D161" t="s">
        <v>1360</v>
      </c>
      <c r="E161" t="s">
        <v>1008</v>
      </c>
      <c r="F161" t="s">
        <v>1436</v>
      </c>
      <c r="G161" t="s">
        <v>1452</v>
      </c>
      <c r="H161" t="s">
        <v>1453</v>
      </c>
      <c r="I161" t="s">
        <v>1012</v>
      </c>
      <c r="J161" t="s">
        <v>17</v>
      </c>
      <c r="K161" t="s">
        <v>1013</v>
      </c>
      <c r="L161" t="s">
        <v>1024</v>
      </c>
    </row>
    <row r="162" spans="1:13" x14ac:dyDescent="0.25">
      <c r="A162" t="s">
        <v>1376</v>
      </c>
      <c r="B162" t="s">
        <v>1376</v>
      </c>
      <c r="C162" t="s">
        <v>1454</v>
      </c>
      <c r="D162" t="s">
        <v>1360</v>
      </c>
      <c r="E162" t="s">
        <v>1008</v>
      </c>
      <c r="F162" t="s">
        <v>1436</v>
      </c>
      <c r="G162" t="s">
        <v>1455</v>
      </c>
      <c r="H162" t="s">
        <v>1456</v>
      </c>
      <c r="I162" t="s">
        <v>1188</v>
      </c>
      <c r="J162" t="s">
        <v>17</v>
      </c>
      <c r="K162" t="s">
        <v>1013</v>
      </c>
      <c r="L162" t="s">
        <v>1024</v>
      </c>
    </row>
    <row r="163" spans="1:13" x14ac:dyDescent="0.25">
      <c r="A163" t="s">
        <v>1376</v>
      </c>
      <c r="B163" t="s">
        <v>1376</v>
      </c>
      <c r="C163" t="s">
        <v>19</v>
      </c>
      <c r="D163" t="s">
        <v>1360</v>
      </c>
      <c r="E163" t="s">
        <v>1226</v>
      </c>
      <c r="F163" t="s">
        <v>1436</v>
      </c>
      <c r="G163" t="s">
        <v>1457</v>
      </c>
      <c r="H163" t="s">
        <v>1458</v>
      </c>
      <c r="I163" t="s">
        <v>1018</v>
      </c>
      <c r="J163" t="s">
        <v>17</v>
      </c>
      <c r="K163" t="s">
        <v>1123</v>
      </c>
      <c r="L163" t="s">
        <v>1124</v>
      </c>
      <c r="M163" t="s">
        <v>1125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IDE_ConOps_4_3_Model_Trace_LVL3</vt:lpstr>
      <vt:lpstr>SPL3</vt:lpstr>
      <vt:lpstr>IDE_v2_L3_JS</vt:lpstr>
      <vt:lpstr>IDE_ConOps_4_3_Model_LVL3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john smith</cp:lastModifiedBy>
  <dcterms:created xsi:type="dcterms:W3CDTF">2025-11-17T22:51:36Z</dcterms:created>
  <dcterms:modified xsi:type="dcterms:W3CDTF">2025-11-17T23:10:38Z</dcterms:modified>
</cp:coreProperties>
</file>